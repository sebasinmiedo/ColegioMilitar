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abes\Documents\proyectoSistemaSanciones\ColegioMilitar\src\ColegioMilitar.UI\Resources\Templates\"/>
    </mc:Choice>
  </mc:AlternateContent>
  <xr:revisionPtr revIDLastSave="0" documentId="13_ncr:1_{CFD73306-938B-45B3-8A7D-1A043F88321B}" xr6:coauthVersionLast="47" xr6:coauthVersionMax="47" xr10:uidLastSave="{00000000-0000-0000-0000-000000000000}"/>
  <x:bookViews>
    <x:workbookView xWindow="-120" yWindow="-120" windowWidth="29040" windowHeight="15720" tabRatio="864" firstSheet="0" activeTab="0" xr2:uid="{00000000-000D-0000-FFFF-FFFF00000000}"/>
  </x:bookViews>
  <x:sheets>
    <x:sheet name="TBL-SANCIONES 3er" sheetId="13" r:id="rId1"/>
    <x:sheet name="SALIDA 3er" sheetId="11" r:id="rId2"/>
    <x:sheet name="TBL-SANCIONES 4to" sheetId="16" r:id="rId3"/>
    <x:sheet name="SALIDA 4to" sheetId="19" r:id="rId4"/>
    <x:sheet name="TBL-SANCIONES 5to" sheetId="18" r:id="rId5"/>
    <x:sheet name="SALIDA 5to" sheetId="17" r:id="rId6"/>
    <x:sheet name="RACIONES" sheetId="15" r:id="rId7"/>
  </x:sheets>
  <x:externalReferences>
    <x:externalReference r:id="rId8"/>
  </x:externalReferences>
  <x:definedNames>
    <x:definedName name="CC" localSheetId="0">#REF!</x:definedName>
    <x:definedName name="CodigoCadetes" localSheetId="0">#REF!</x:definedName>
    <x:definedName name="GradoCadetes" localSheetId="0">#REF!</x:definedName>
    <x:definedName name="NombresCadetes" localSheetId="0">#REF!</x:definedName>
    <x:definedName name="SeccionCadetes" localSheetId="0">#REF!</x:definedName>
    <x:definedName name="_xlnm.Print_Area" localSheetId="1">'SALIDA 3er'!$A$1:$E$12</x:definedName>
    <x:definedName name="CC" localSheetId="1">#REF!</x:definedName>
    <x:definedName name="CodigoCadetes" localSheetId="1">#REF!</x:definedName>
    <x:definedName name="GradoCadetes" localSheetId="1">#REF!</x:definedName>
    <x:definedName name="NombresCadetes" localSheetId="1">#REF!</x:definedName>
    <x:definedName name="SeccionCadetes" localSheetId="1">#REF!</x:definedName>
    <x:definedName name="_xlnm.Print_Titles" localSheetId="1">'SALIDA 3er'!3:3</x:definedName>
    <x:definedName name="CC" localSheetId="2">#REF!</x:definedName>
    <x:definedName name="CodigoCadetes" localSheetId="2">#REF!</x:definedName>
    <x:definedName name="GradoCadetes" localSheetId="2">#REF!</x:definedName>
    <x:definedName name="NombresCadetes" localSheetId="2">#REF!</x:definedName>
    <x:definedName name="SeccionCadetes" localSheetId="2">#REF!</x:definedName>
    <x:definedName name="_xlnm.Print_Area" localSheetId="3">'SALIDA 4to'!$A$1:$E$12</x:definedName>
    <x:definedName name="CC" localSheetId="3">#REF!</x:definedName>
    <x:definedName name="CodigoCadetes" localSheetId="3">#REF!</x:definedName>
    <x:definedName name="GradoCadetes" localSheetId="3">#REF!</x:definedName>
    <x:definedName name="NombresCadetes" localSheetId="3">#REF!</x:definedName>
    <x:definedName name="SeccionCadetes" localSheetId="3">#REF!</x:definedName>
    <x:definedName name="_xlnm.Print_Titles" localSheetId="3">'SALIDA 4to'!3:3</x:definedName>
    <x:definedName name="CC" localSheetId="4">#REF!</x:definedName>
    <x:definedName name="CodigoCadetes" localSheetId="4">#REF!</x:definedName>
    <x:definedName name="GradoCadetes" localSheetId="4">#REF!</x:definedName>
    <x:definedName name="NombresCadetes" localSheetId="4">#REF!</x:definedName>
    <x:definedName name="SeccionCadetes" localSheetId="4">#REF!</x:definedName>
    <x:definedName name="_xlnm.Print_Area" localSheetId="5">'SALIDA 5to'!$A$1:$E$12</x:definedName>
    <x:definedName name="CC" localSheetId="5">#REF!</x:definedName>
    <x:definedName name="CodigoCadetes" localSheetId="5">#REF!</x:definedName>
    <x:definedName name="GradoCadetes" localSheetId="5">#REF!</x:definedName>
    <x:definedName name="NombresCadetes" localSheetId="5">#REF!</x:definedName>
    <x:definedName name="SeccionCadetes" localSheetId="5">#REF!</x:definedName>
    <x:definedName name="_xlnm.Print_Titles" localSheetId="5">'SALIDA 5to'!3:3</x:definedName>
    <x:definedName name="CC">#REF!</x:definedName>
    <x:definedName name="CODIGO_TOTAL">'[1]CODIGO-SANCION'!$A$1:$G$154</x:definedName>
    <x:definedName name="CodigoCadetes">#REF!</x:definedName>
    <x:definedName name="DescripcionesCastigos">#REF!</x:definedName>
    <x:definedName name="GradoCadetes">#REF!</x:definedName>
    <x:definedName name="List.cadetes">[1]List.Cadetes!$B$2:$E$172</x:definedName>
    <x:definedName name="Matriz">'[1]CODIGO-SANCION'!$B$2:$E$154</x:definedName>
    <x:definedName name="MatrizCadetes">#REF!</x:definedName>
    <x:definedName name="N°3">#REF!</x:definedName>
    <x:definedName name="NombresCadetes">#REF!</x:definedName>
    <x:definedName name="rango_cod">'[1]CODIGO-SANCION'!$A$2:$A$154</x:definedName>
    <x:definedName name="rango_grado">'[1]CODIGO-SANCION'!$B$1:$E$1</x:definedName>
    <x:definedName name="RangoCodigos">#REF!</x:definedName>
    <x:definedName name="RangoGrados">#REF!</x:definedName>
    <x:definedName name="SeccionCadete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E4" i="13"/>
  <x:c r="H4" i="11"/>
  <x:c r="I4" i="11"/>
  <x:c r="J4" i="11"/>
  <x:c r="K4" i="11"/>
  <x:c r="E4" i="16"/>
  <x:c r="H4" i="19"/>
  <x:c r="I4" i="19"/>
  <x:c r="J4" i="19"/>
  <x:c r="K4" i="19"/>
  <x:c r="E4" i="18"/>
  <x:c r="H4" i="17"/>
  <x:c r="I4" i="17"/>
  <x:c r="J4" i="17"/>
  <x:c r="K4" i="17"/>
  <x:c r="C3" i="15"/>
</x:calcChain>
</file>

<file path=xl/sharedStrings.xml><?xml version="1.0" encoding="utf-8"?>
<x:sst xmlns:x="http://schemas.openxmlformats.org/spreadsheetml/2006/main">
  <x:si>
    <x:t>III AÑO</x:t>
  </x:si>
  <x:si>
    <x:t>SUPERIOR QUE CASTIGA</x:t>
  </x:si>
  <x:si>
    <x:t xml:space="preserve">RELACION DE SALIDA III AÑO </x:t>
  </x:si>
  <x:si>
    <x:t>PTOS</x:t>
  </x:si>
  <x:si>
    <x:t>RELACION DE CASTIGADOS</x:t>
  </x:si>
  <x:si>
    <x:t>CODIGO</x:t>
  </x:si>
  <x:si>
    <x:t>REINC</x:t>
  </x:si>
  <x:si>
    <x:t>HORA</x:t>
  </x:si>
  <x:si>
    <x:t>MOTIVO</x:t>
  </x:si>
  <x:si>
    <x:t>DPTO EVAL Y CONTROL</x:t>
  </x:si>
  <x:si>
    <x:t>IEPM CGAL</x:t>
  </x:si>
  <x:si>
    <x:t>N°</x:t>
  </x:si>
  <x:si>
    <x:t>RACIONES (DIAS VIE, SAB Y DOM)</x:t>
  </x:si>
  <x:si>
    <x:t>DNI</x:t>
  </x:si>
  <x:si>
    <x:t>APELLIDOS Y NOMBRES</x:t>
  </x:si>
  <x:si>
    <x:t>FECHA</x:t>
  </x:si>
  <x:si>
    <x:t>SALIDA</x:t>
  </x:si>
  <x:si>
    <x:t>AÑOS</x:t>
  </x:si>
  <x:si>
    <x:t>VIERNES</x:t>
  </x:si>
  <x:si>
    <x:t>SABADO</x:t>
  </x:si>
  <x:si>
    <x:t>DOMINGO</x:t>
  </x:si>
  <x:si>
    <x:t>TOTAL</x:t>
  </x:si>
  <x:si>
    <x:t>V AÑO</x:t>
  </x:si>
  <x:si>
    <x:t>RACIONES</x:t>
  </x:si>
  <x:si>
    <x:t>VIE</x:t>
  </x:si>
  <x:si>
    <x:t>SAB</x:t>
  </x:si>
  <x:si>
    <x:t>DOM</x:t>
  </x:si>
  <x:si>
    <x:t>IV AÑO</x:t>
  </x:si>
  <x:si>
    <x:t>_______________________</x:t>
  </x:si>
  <x:si>
    <x:t>O 118527000 B+</x:t>
  </x:si>
  <x:si>
    <x:t>O-123060300-O+</x:t>
  </x:si>
  <x:si>
    <x:t>O-128555500-O+</x:t>
  </x:si>
  <x:si>
    <x:t>EDGARDO SULLCA LLAMOCCA</x:t>
  </x:si>
  <x:si>
    <x:t>CARLOS A. TAMARIZ RODRIGUEZ</x:t>
  </x:si>
  <x:si>
    <x:t>GERARDO D. TINEO VELITA</x:t>
  </x:si>
  <x:si>
    <x:t>CRL EP</x:t>
  </x:si>
  <x:si>
    <x:t>MY CAB</x:t>
  </x:si>
  <x:si>
    <x:t>ALFZ CAB</x:t>
  </x:si>
  <x:si>
    <x:t>DIRECTOR DE LA IEPM "CRL GAL"</x:t>
  </x:si>
  <x:si>
    <x:t>Sub Director IEPM Crl GAL</x:t>
  </x:si>
  <x:si>
    <x:t>JEFE DPTO EVALUACION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</x:si>
</x:sst>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3" x14ac:knownFonts="1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color rgb="FF3F3F3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sz val="9"/>
      <x:color rgb="FF000000"/>
      <x:name val="Calibri"/>
      <x:family val="2"/>
      <x:scheme val="minor"/>
    </x:font>
    <x:font>
      <x:b/>
      <x:u/>
      <x:sz val="16"/>
      <x:color theme="1"/>
      <x:name val="Arial"/>
      <x:family val="2"/>
    </x:font>
    <x:font>
      <x:u/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b/>
      <x:u/>
      <x:sz val="12"/>
      <x:color theme="1"/>
      <x:name val="Arial Narrow"/>
      <x:family val="2"/>
    </x:font>
    <x:font>
      <x:sz val="11"/>
      <x:color theme="1"/>
      <x:name val="Arial"/>
      <x:family val="2"/>
    </x:font>
    <x:font>
      <x:vertAlign val="baseline"/>
      <x:sz val="11"/>
      <x:color rgb="FF000000"/>
      <x:name val="Calibri"/>
      <x:family val="2"/>
    </x:font>
    <x:font>
      <x:b/>
      <x:vertAlign val="baseline"/>
      <x:sz val="9"/>
      <x:color theme="1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2F2F2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8" tint="0.59999389629810485"/>
        <x:bgColor indexed="64"/>
      </x:patternFill>
    </x:fill>
  </x:fills>
  <x:borders count="1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dotted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tted">
        <x:color indexed="64"/>
      </x:left>
      <x:right/>
      <x:top style="dotted">
        <x:color indexed="64"/>
      </x:top>
      <x:bottom style="dotted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dotted">
        <x:color indexed="64"/>
      </x:left>
      <x:right style="dotted">
        <x:color indexed="64"/>
      </x:right>
      <x:top style="dotted">
        <x:color indexed="64"/>
      </x:top>
      <x:bottom/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dotted">
        <x:color indexed="64"/>
      </x:left>
      <x:right style="dotted">
        <x:color indexed="64"/>
      </x:right>
      <x:top/>
      <x:bottom style="dotted">
        <x:color indexed="64"/>
      </x:bottom>
      <x:diagonal/>
    </x:border>
    <x:border>
      <x:left style="dotted">
        <x:color indexed="64"/>
      </x:left>
      <x:right style="dotted">
        <x:color indexed="64"/>
      </x:right>
      <x:top style="thin">
        <x:color rgb="FF3F3F3F"/>
      </x:top>
      <x:bottom style="dotted">
        <x:color indexed="64"/>
      </x:bottom>
      <x:diagonal/>
    </x:border>
    <x:border>
      <x:left/>
      <x:right/>
      <x:top style="dotted">
        <x:color indexed="64"/>
      </x:top>
      <x:bottom/>
      <x:diagonal/>
    </x:border>
  </x:borders>
  <x:cellStyleXfs count="32">
    <x:xf numFmtId="0" fontId="0" fillId="0" borderId="0"/>
    <x:xf numFmtId="0" fontId="1" fillId="0" borderId="0"/>
    <x:xf numFmtId="0" fontId="2" fillId="4" borderId="4" applyNumberFormat="0" applyAlignment="0" applyProtection="0"/>
    <x:xf numFmtId="0" fontId="6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4" fontId="3" fillId="3" borderId="0" applyNumberFormat="1" applyFill="0" applyBorder="0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4" fillId="3" borderId="7" applyNumberFormat="1" applyFill="0" applyBorder="1" applyAlignment="1" applyProtection="1">
      <x:protection locked="1" hidden="0"/>
    </x:xf>
    <x:xf numFmtId="0" fontId="4" fillId="3" borderId="10" applyNumberFormat="1" applyFill="0" applyBorder="1" applyAlignment="1" applyProtection="1">
      <x:protection locked="1" hidden="0"/>
    </x:xf>
    <x:xf numFmtId="0" fontId="5" fillId="3" borderId="10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20" fontId="4" fillId="3" borderId="5" applyNumberFormat="1" applyFill="0" applyBorder="1" applyAlignment="1" applyProtection="1">
      <x:protection locked="1" hidden="0"/>
    </x:xf>
    <x:xf numFmtId="14" fontId="4" fillId="3" borderId="3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3" fillId="6" borderId="8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0" fontId="0" fillId="6" borderId="8" applyNumberFormat="1" applyFill="0" applyBorder="1" applyAlignment="1" applyProtection="1">
      <x:protection locked="1" hidden="0"/>
    </x:xf>
    <x:xf numFmtId="0" fontId="5" fillId="3" borderId="7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7" borderId="9" applyNumberFormat="1" applyFill="0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4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0" fillId="5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7" borderId="3" applyNumberFormat="1" applyFill="0" applyBorder="1" applyAlignment="1" applyProtection="1">
      <x:protection locked="1" hidden="0"/>
    </x:xf>
  </x:cellStyleXfs>
  <x:cellXfs count="55">
    <x:xf numFmtId="0" fontId="0" fillId="0" borderId="0" xfId="0"/>
    <x:xf numFmtId="0" fontId="2" fillId="2" borderId="4" xfId="2" applyFill="1" applyAlignment="1">
      <x:alignment horizontal="center" vertical="center"/>
    </x:xf>
    <x:xf numFmtId="0" fontId="3" fillId="5" borderId="2" xfId="0" applyFont="1" applyFill="1" applyBorder="1" applyAlignment="1">
      <x:alignment horizontal="center" vertical="center"/>
    </x:xf>
    <x:xf numFmtId="0" fontId="4" fillId="3" borderId="3" xfId="2" applyFont="1" applyFill="1" applyBorder="1" applyAlignment="1">
      <x:alignment horizontal="center" vertical="center"/>
    </x:xf>
    <x:xf numFmtId="20" fontId="4" fillId="3" borderId="5" xfId="2" applyNumberFormat="1" applyFont="1" applyFill="1" applyBorder="1" applyAlignment="1">
      <x:alignment horizontal="center" vertical="center"/>
    </x:xf>
    <x:xf numFmtId="14" fontId="4" fillId="3" borderId="3" xfId="2" applyNumberFormat="1" applyFont="1" applyFill="1" applyBorder="1" applyAlignment="1">
      <x:alignment horizontal="center" vertical="center"/>
    </x:xf>
    <x:xf numFmtId="0" fontId="4" fillId="3" borderId="3" xfId="2" applyFont="1" applyFill="1" applyBorder="1" applyAlignment="1">
      <x:alignment horizontal="left"/>
    </x:xf>
    <x:xf numFmtId="0" fontId="4" fillId="3" borderId="7" xfId="2" applyFont="1" applyFill="1" applyBorder="1" applyAlignment="1">
      <x:alignment horizontal="center" vertical="center"/>
    </x:xf>
    <x:xf numFmtId="0" fontId="5" fillId="3" borderId="7" xfId="2" applyFont="1" applyFill="1" applyBorder="1" applyAlignment="1">
      <x:alignment horizontal="left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6" borderId="8" xfId="0" applyFill="1" applyBorder="1" applyAlignment="1">
      <x:alignment horizontal="left"/>
    </x:xf>
    <x:xf numFmtId="0" fontId="0" fillId="6" borderId="8" xfId="0" applyFill="1" applyBorder="1" applyAlignment="1">
      <x:alignment horizontal="center"/>
    </x:xf>
    <x:xf numFmtId="0" fontId="0" fillId="7" borderId="9" xfId="0" applyFill="1" applyBorder="1" applyAlignment="1">
      <x:alignment horizontal="left"/>
    </x:xf>
    <x:xf numFmtId="0" fontId="8" fillId="0" borderId="9" xfId="0" applyFont="1" applyBorder="1" applyAlignment="1">
      <x:alignment horizontal="center" vertical="center"/>
    </x:xf>
    <x:xf numFmtId="0" fontId="10" fillId="5" borderId="3" xfId="0" applyFont="1" applyFill="1" applyBorder="1" applyAlignment="1">
      <x:alignment horizontal="left"/>
    </x:xf>
    <x:xf numFmtId="0" fontId="0" fillId="0" borderId="3" xfId="0" applyBorder="1" applyAlignment="1">
      <x:alignment horizontal="center"/>
    </x:xf>
    <x:xf numFmtId="0" fontId="0" fillId="0" borderId="3" xfId="0" applyBorder="1"/>
    <x:xf numFmtId="0" fontId="0" fillId="7" borderId="3" xfId="0" applyFill="1" applyBorder="1" applyAlignment="1">
      <x:alignment horizontal="center"/>
    </x:xf>
    <x:xf numFmtId="0" fontId="4" fillId="3" borderId="10" xfId="2" applyFont="1" applyFill="1" applyBorder="1" applyAlignment="1">
      <x:alignment horizontal="left" vertical="center"/>
    </x:xf>
    <x:xf numFmtId="0" fontId="5" fillId="3" borderId="10" xfId="2" applyFont="1" applyFill="1" applyBorder="1" applyAlignment="1">
      <x:alignment horizontal="left" vertical="center"/>
    </x:xf>
    <x:xf numFmtId="0" fontId="4" fillId="3" borderId="10" xfId="2" applyFont="1" applyFill="1" applyBorder="1" applyAlignment="1">
      <x:alignment horizontal="center" vertical="center"/>
    </x:xf>
    <x:xf numFmtId="0" fontId="0" fillId="0" borderId="11" xfId="0" applyBorder="1"/>
    <x:xf numFmtId="0" fontId="6" fillId="3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/>
    </x:xf>
    <x:xf numFmtId="14" fontId="3" fillId="3" borderId="0" xfId="0" applyNumberFormat="1" applyFont="1" applyFill="1" applyAlignment="1">
      <x:alignment horizontal="left" vertical="center"/>
    </x:xf>
    <x:xf numFmtId="0" fontId="7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3" fillId="6" borderId="8" xfId="0" applyFont="1" applyFill="1" applyBorder="1" applyAlignment="1">
      <x:alignment horizontal="center"/>
    </x:xf>
    <x:xf numFmtId="0" fontId="9" fillId="0" borderId="0" xfId="0" applyFont="1" applyAlignment="1">
      <x:alignment horizontal="center"/>
    </x:xf>
    <x:xf numFmtId="14" fontId="0" fillId="0" borderId="6" xfId="0" applyNumberFormat="1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1" xfId="0" applyBorder="1" applyAlignment="1">
      <x:alignment horizontal="center"/>
    </x:xf>
    <x:xf numFmtId="0" fontId="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3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0" fontId="4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4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5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7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3">
    <x:cellStyle name="Normal" xfId="0" builtinId="0"/>
    <x:cellStyle name="Normal 2" xfId="1" xr:uid="{00000000-0005-0000-0000-000002000000}"/>
    <x:cellStyle name="Salida" xfId="2" builtinId="21"/>
  </x:cellStyles>
  <x:tableStyles count="0" defaultTableStyle="TableStyleMedium2" defaultPivotStyle="PivotStyleLight16"/>
  <x:colors>
    <x:mruColors>
      <x:color rgb="FF02BABE"/>
      <x:color rgb="FFFF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8</xdr:row>
      <xdr:rowOff>171450</xdr:rowOff>
    </xdr:from>
    <xdr:to>
      <xdr:col>1</xdr:col>
      <xdr:colOff>419100</xdr:colOff>
      <xdr:row>13</xdr:row>
      <xdr:rowOff>85725</xdr:rowOff>
    </xdr:to>
    <xdr:pic>
      <xdr:nvPicPr>
        <xdr:cNvPr id="4" name="Imagen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76300" cy="866775"/>
        </a:xfrm>
        <a:prstGeom prst="rect"/>
      </xdr:spPr>
    </xdr:pic>
    <xdr:clientData/>
  </xdr:twoCellAnchor>
</xdr:wsDr>
</file>

<file path=xl/drawings/drawing2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2009775</xdr:colOff>
      <xdr:row>5</xdr:row>
      <xdr:rowOff>57150</xdr:rowOff>
    </xdr:from>
    <xdr:to>
      <xdr:col>2</xdr:col>
      <xdr:colOff>2886075</xdr:colOff>
      <xdr:row>9</xdr:row>
      <xdr:rowOff>161925</xdr:rowOff>
    </xdr:to>
    <xdr:pic>
      <xdr:nvPicPr>
        <xdr:cNvPr id="2" name="Imagen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76300" cy="866775"/>
        </a:xfrm>
        <a:prstGeom prst="rect"/>
      </xdr:spPr>
    </xdr:pic>
    <xdr:clientData/>
  </xdr:twoCellAnchor>
</xdr:wsDr>
</file>

<file path=xl/drawings/drawing3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8</xdr:row>
      <xdr:rowOff>171450</xdr:rowOff>
    </xdr:from>
    <xdr:to>
      <xdr:col>1</xdr:col>
      <xdr:colOff>419100</xdr:colOff>
      <xdr:row>13</xdr:row>
      <xdr:rowOff>85725</xdr:rowOff>
    </xdr:to>
    <xdr:pic>
      <xdr:nvPicPr>
        <xdr:cNvPr id="4" name="Imagen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76300" cy="866775"/>
        </a:xfrm>
        <a:prstGeom prst="rect"/>
      </xdr:spPr>
    </xdr:pic>
    <xdr:clientData/>
  </xdr:twoCellAnchor>
</xdr:wsDr>
</file>

<file path=xl/drawings/drawing4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2009775</xdr:colOff>
      <xdr:row>5</xdr:row>
      <xdr:rowOff>57150</xdr:rowOff>
    </xdr:from>
    <xdr:to>
      <xdr:col>2</xdr:col>
      <xdr:colOff>2886075</xdr:colOff>
      <xdr:row>9</xdr:row>
      <xdr:rowOff>161925</xdr:rowOff>
    </xdr:to>
    <xdr:pic>
      <xdr:nvPicPr>
        <xdr:cNvPr id="2" name="Imagen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76300" cy="866775"/>
        </a:xfrm>
        <a:prstGeom prst="rect"/>
      </xdr:spPr>
    </xdr:pic>
    <xdr:clientData/>
  </xdr:twoCellAnchor>
</xdr:wsDr>
</file>

<file path=xl/drawings/drawing5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8</xdr:row>
      <xdr:rowOff>171450</xdr:rowOff>
    </xdr:from>
    <xdr:to>
      <xdr:col>1</xdr:col>
      <xdr:colOff>419100</xdr:colOff>
      <xdr:row>13</xdr:row>
      <xdr:rowOff>85725</xdr:rowOff>
    </xdr:to>
    <xdr:pic>
      <xdr:nvPicPr>
        <xdr:cNvPr id="4" name="Imagen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76300" cy="866775"/>
        </a:xfrm>
        <a:prstGeom prst="rect"/>
      </xdr:spPr>
    </xdr:pic>
    <xdr:clientData/>
  </xdr:twoCellAnchor>
</xdr:wsDr>
</file>

<file path=xl/drawings/drawing6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2009775</xdr:colOff>
      <xdr:row>5</xdr:row>
      <xdr:rowOff>57150</xdr:rowOff>
    </xdr:from>
    <xdr:to>
      <xdr:col>2</xdr:col>
      <xdr:colOff>2886075</xdr:colOff>
      <xdr:row>9</xdr:row>
      <xdr:rowOff>161925</xdr:rowOff>
    </xdr:to>
    <xdr:pic>
      <xdr:nvPicPr>
        <xdr:cNvPr id="2" name="Imagen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76300" cy="866775"/>
        </a:xfrm>
        <a:prstGeom prst="rect"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legioMilitar\ProyectoColegioMilitar\BASE%20DE%20DATOS%202024\REGISTRO%20IE-SANCION%2022MARZO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"/>
      <sheetName val="Hoja3"/>
      <sheetName val="List.Cadetes"/>
      <sheetName val="CODIGO-SANCION"/>
      <sheetName val="INGRESO-SANCION"/>
      <sheetName val="LISTA-SANCION"/>
      <sheetName val="Hoja2"/>
      <sheetName val="LISTA OFICIALES Y TECNICOS"/>
    </sheetNames>
    <sheetDataSet>
      <sheetData sheetId="0" refreshError="1"/>
      <sheetData sheetId="1" refreshError="1"/>
      <sheetData sheetId="2">
        <row r="2">
          <cell r="B2" t="str">
            <v>CODIGO</v>
          </cell>
          <cell r="C2" t="str">
            <v>APELLIDOS Y NOMBRES</v>
          </cell>
          <cell r="D2" t="str">
            <v xml:space="preserve">GRADO </v>
          </cell>
          <cell r="E2" t="str">
            <v>SECCIÓN</v>
          </cell>
        </row>
        <row r="3">
          <cell r="B3" t="str">
            <v>61351552</v>
          </cell>
          <cell r="C3" t="str">
            <v>CALIZAYA CUNURANA GIANPIERRE FABRIZIO</v>
          </cell>
          <cell r="D3" t="str">
            <v>CAD V</v>
          </cell>
          <cell r="E3" t="str">
            <v>A</v>
          </cell>
        </row>
        <row r="4">
          <cell r="B4" t="str">
            <v>61351552</v>
          </cell>
          <cell r="C4" t="str">
            <v>CALIZAYA CUNURANA GIANPIERRE FABRIZIO</v>
          </cell>
          <cell r="D4" t="str">
            <v>CAD V</v>
          </cell>
          <cell r="E4" t="str">
            <v>A</v>
          </cell>
        </row>
        <row r="5">
          <cell r="B5" t="str">
            <v>61243893</v>
          </cell>
          <cell r="C5" t="str">
            <v>CACHICATARI HUACANI PAOLO ANTHONY</v>
          </cell>
          <cell r="D5" t="str">
            <v>CAD V</v>
          </cell>
          <cell r="E5" t="str">
            <v>A</v>
          </cell>
        </row>
        <row r="6">
          <cell r="B6" t="str">
            <v>61243893</v>
          </cell>
          <cell r="C6" t="str">
            <v>CACHICATARI HUACANI PAOLO ANTHONY</v>
          </cell>
          <cell r="D6" t="str">
            <v>CAD V</v>
          </cell>
          <cell r="E6" t="str">
            <v>A</v>
          </cell>
        </row>
        <row r="7">
          <cell r="B7" t="str">
            <v>61243893</v>
          </cell>
          <cell r="C7" t="str">
            <v>CACHICATARI HUACANI PAOLO ANTHONY</v>
          </cell>
          <cell r="D7" t="str">
            <v>CAD V</v>
          </cell>
          <cell r="E7" t="str">
            <v>A</v>
          </cell>
        </row>
        <row r="8">
          <cell r="B8" t="str">
            <v>61243893</v>
          </cell>
          <cell r="C8" t="str">
            <v>CACHICATARI HUACANI PAOLO ANTHONY</v>
          </cell>
          <cell r="D8" t="str">
            <v>CAD V</v>
          </cell>
          <cell r="E8" t="str">
            <v>A</v>
          </cell>
        </row>
        <row r="9">
          <cell r="B9" t="str">
            <v>61243893</v>
          </cell>
          <cell r="C9" t="str">
            <v>CACHICATARI HUACANI PAOLO ANTHONY</v>
          </cell>
          <cell r="D9" t="str">
            <v>CAD V</v>
          </cell>
          <cell r="E9" t="str">
            <v>A</v>
          </cell>
        </row>
        <row r="10">
          <cell r="B10" t="str">
            <v>61118292</v>
          </cell>
          <cell r="C10" t="str">
            <v>CHAMBILLA CACHICATARI JIMMY MICHAEL</v>
          </cell>
          <cell r="D10" t="str">
            <v>CAD V</v>
          </cell>
          <cell r="E10" t="str">
            <v>A</v>
          </cell>
        </row>
        <row r="11">
          <cell r="B11" t="str">
            <v>61118292</v>
          </cell>
          <cell r="C11" t="str">
            <v>CHAMBILLA CACHICATARI JIMMY MICHAEL</v>
          </cell>
          <cell r="D11" t="str">
            <v>CAD V</v>
          </cell>
          <cell r="E11" t="str">
            <v>A</v>
          </cell>
        </row>
        <row r="12">
          <cell r="B12" t="str">
            <v>61118292</v>
          </cell>
          <cell r="C12" t="str">
            <v>CHAMBILLA CACHICATARI JIMMY MICHAEL</v>
          </cell>
          <cell r="D12" t="str">
            <v>CAD V</v>
          </cell>
          <cell r="E12" t="str">
            <v>A</v>
          </cell>
        </row>
        <row r="13">
          <cell r="B13" t="str">
            <v>61118292</v>
          </cell>
          <cell r="C13" t="str">
            <v>CHAMBILLA CACHICATARI JIMMY MICHAEL</v>
          </cell>
          <cell r="D13" t="str">
            <v>CAD V</v>
          </cell>
          <cell r="E13" t="str">
            <v>A</v>
          </cell>
        </row>
        <row r="14">
          <cell r="B14" t="str">
            <v>61118292</v>
          </cell>
          <cell r="C14" t="str">
            <v>CHAMBILLA CACHICATARI JIMMY MICHAEL</v>
          </cell>
          <cell r="D14" t="str">
            <v>CAD V</v>
          </cell>
          <cell r="E14" t="str">
            <v>A</v>
          </cell>
        </row>
        <row r="15">
          <cell r="B15" t="str">
            <v>60577201</v>
          </cell>
          <cell r="C15" t="str">
            <v>ABANTO DAVILA JOSUE HUMBERTO</v>
          </cell>
          <cell r="D15" t="str">
            <v>CAD V</v>
          </cell>
          <cell r="E15" t="str">
            <v>A</v>
          </cell>
        </row>
        <row r="16">
          <cell r="B16" t="str">
            <v>60531099</v>
          </cell>
          <cell r="C16" t="str">
            <v>ARIAS VILCA DORIS NIEVES</v>
          </cell>
          <cell r="D16" t="str">
            <v>CAD V</v>
          </cell>
          <cell r="E16" t="str">
            <v>A</v>
          </cell>
        </row>
        <row r="17">
          <cell r="B17" t="str">
            <v>60556233</v>
          </cell>
          <cell r="C17" t="str">
            <v>AROCUTIPA PAYE BRANDY JOSUE</v>
          </cell>
          <cell r="D17" t="str">
            <v>CAD V</v>
          </cell>
          <cell r="E17" t="str">
            <v>A</v>
          </cell>
        </row>
        <row r="18">
          <cell r="B18" t="str">
            <v>61243970</v>
          </cell>
          <cell r="C18" t="str">
            <v>ASTETE COHAILA ANNIE ROSE</v>
          </cell>
          <cell r="D18" t="str">
            <v>CAD V</v>
          </cell>
          <cell r="E18" t="str">
            <v>A</v>
          </cell>
        </row>
        <row r="19">
          <cell r="B19">
            <v>61243893</v>
          </cell>
          <cell r="C19" t="str">
            <v>CACHICATARI HUACANI PAOLO ANTHONY</v>
          </cell>
          <cell r="D19" t="str">
            <v>CAD V</v>
          </cell>
          <cell r="E19" t="str">
            <v>A</v>
          </cell>
        </row>
        <row r="20">
          <cell r="B20" t="str">
            <v>61187885</v>
          </cell>
          <cell r="C20" t="str">
            <v>CANDIA TARAPA NOELIA LIBERTAD</v>
          </cell>
          <cell r="D20" t="str">
            <v>CAD V</v>
          </cell>
          <cell r="E20" t="str">
            <v>A</v>
          </cell>
        </row>
        <row r="21">
          <cell r="B21">
            <v>61118292</v>
          </cell>
          <cell r="C21" t="str">
            <v>CHAMBILLA CACHICATARI JIMMY MICHAEL</v>
          </cell>
          <cell r="D21" t="str">
            <v>CAD V</v>
          </cell>
          <cell r="E21" t="str">
            <v>A</v>
          </cell>
        </row>
        <row r="22">
          <cell r="B22" t="str">
            <v>60617918</v>
          </cell>
          <cell r="C22" t="str">
            <v>CHOQUE VALDEZ PAUL DENIS</v>
          </cell>
          <cell r="D22" t="str">
            <v>CAD V</v>
          </cell>
          <cell r="E22" t="str">
            <v>A</v>
          </cell>
        </row>
        <row r="23">
          <cell r="B23" t="str">
            <v>61187953</v>
          </cell>
          <cell r="C23" t="str">
            <v>FLORES GONZALES JUAN DIEGO</v>
          </cell>
          <cell r="D23" t="str">
            <v>CAD V</v>
          </cell>
          <cell r="E23" t="str">
            <v>A</v>
          </cell>
        </row>
        <row r="24">
          <cell r="B24" t="str">
            <v>61350651</v>
          </cell>
          <cell r="C24" t="str">
            <v>HINOJOSA RAMIREZ JESUS RAUL</v>
          </cell>
          <cell r="D24" t="str">
            <v>CAD V</v>
          </cell>
          <cell r="E24" t="str">
            <v>A</v>
          </cell>
        </row>
        <row r="25">
          <cell r="B25" t="str">
            <v>60624991</v>
          </cell>
          <cell r="C25" t="str">
            <v>HUANCA FLORES JADE SAYUMI</v>
          </cell>
          <cell r="D25" t="str">
            <v>CAD V</v>
          </cell>
          <cell r="E25" t="str">
            <v>A</v>
          </cell>
        </row>
        <row r="26">
          <cell r="B26" t="str">
            <v>61187694</v>
          </cell>
          <cell r="C26" t="str">
            <v>LARICO ALAVE BRANDON LEMAN</v>
          </cell>
          <cell r="D26" t="str">
            <v>CAD V</v>
          </cell>
          <cell r="E26" t="str">
            <v>A</v>
          </cell>
        </row>
        <row r="27">
          <cell r="B27" t="str">
            <v>61231357</v>
          </cell>
          <cell r="C27" t="str">
            <v>LLANOS PERCCA MAURICIO EDU</v>
          </cell>
          <cell r="D27" t="str">
            <v>CAD V</v>
          </cell>
          <cell r="E27" t="str">
            <v>A</v>
          </cell>
        </row>
        <row r="28">
          <cell r="B28" t="str">
            <v>60175862</v>
          </cell>
          <cell r="C28" t="str">
            <v>LLANQUI ESCOBAR YOSELIN YOMAIDA</v>
          </cell>
          <cell r="D28" t="str">
            <v>CAD V</v>
          </cell>
          <cell r="E28" t="str">
            <v>A</v>
          </cell>
        </row>
        <row r="29">
          <cell r="B29" t="str">
            <v>61129008</v>
          </cell>
          <cell r="C29" t="str">
            <v>MENDOZA APAZA ALVARO JESUS</v>
          </cell>
          <cell r="D29" t="str">
            <v>CAD V</v>
          </cell>
          <cell r="E29" t="str">
            <v>A</v>
          </cell>
        </row>
        <row r="30">
          <cell r="B30" t="str">
            <v>60536203</v>
          </cell>
          <cell r="C30" t="str">
            <v>PARI CCASO BRAYAN ARTURO</v>
          </cell>
          <cell r="D30" t="str">
            <v>CAD V</v>
          </cell>
          <cell r="E30" t="str">
            <v>A</v>
          </cell>
        </row>
        <row r="31">
          <cell r="B31" t="str">
            <v>61243883</v>
          </cell>
          <cell r="C31" t="str">
            <v>RAMOS LIMACHI RICARDO</v>
          </cell>
          <cell r="D31" t="str">
            <v>CAD V</v>
          </cell>
          <cell r="E31" t="str">
            <v>A</v>
          </cell>
        </row>
        <row r="32">
          <cell r="B32" t="str">
            <v>61243539</v>
          </cell>
          <cell r="C32" t="str">
            <v>TICAHUANCA CHAMBI DUVAN ERNESTO</v>
          </cell>
          <cell r="D32" t="str">
            <v>CAD V</v>
          </cell>
          <cell r="E32" t="str">
            <v>A</v>
          </cell>
        </row>
        <row r="33">
          <cell r="B33" t="str">
            <v>60516014</v>
          </cell>
          <cell r="C33" t="str">
            <v>TICONA ANQUISE DENNIS JOSUE</v>
          </cell>
          <cell r="D33" t="str">
            <v>CAD V</v>
          </cell>
          <cell r="E33" t="str">
            <v>A</v>
          </cell>
        </row>
        <row r="34">
          <cell r="B34" t="str">
            <v>61243756</v>
          </cell>
          <cell r="C34" t="str">
            <v>TICONA HUACCA JOSE GUSTAVO</v>
          </cell>
          <cell r="D34" t="str">
            <v>CAD V</v>
          </cell>
          <cell r="E34" t="str">
            <v>A</v>
          </cell>
        </row>
        <row r="35">
          <cell r="B35" t="str">
            <v>60513450</v>
          </cell>
          <cell r="C35" t="str">
            <v>VALDEZ VALDIVIA ARES SALVADOR</v>
          </cell>
          <cell r="D35" t="str">
            <v>CAD V</v>
          </cell>
          <cell r="E35" t="str">
            <v>A</v>
          </cell>
        </row>
        <row r="36">
          <cell r="B36" t="str">
            <v>62553392</v>
          </cell>
          <cell r="C36" t="str">
            <v>AROCUTIPA CAPAQUIRA CHRISTIAN ANDRES</v>
          </cell>
          <cell r="D36" t="str">
            <v>CAD V</v>
          </cell>
          <cell r="E36" t="str">
            <v>B</v>
          </cell>
        </row>
        <row r="37">
          <cell r="B37" t="str">
            <v>61188092</v>
          </cell>
          <cell r="C37" t="str">
            <v>CALIZAYA LIMACHE GUILLERMO MATIAS</v>
          </cell>
          <cell r="D37" t="str">
            <v>CAD V</v>
          </cell>
          <cell r="E37" t="str">
            <v>B</v>
          </cell>
        </row>
        <row r="38">
          <cell r="B38" t="str">
            <v>60577221</v>
          </cell>
          <cell r="C38" t="str">
            <v>CHEVEZ MAMANI JOSUE ALBERTO</v>
          </cell>
          <cell r="D38" t="str">
            <v>CAD V</v>
          </cell>
          <cell r="E38" t="str">
            <v>B</v>
          </cell>
        </row>
        <row r="39">
          <cell r="B39" t="str">
            <v>61350605</v>
          </cell>
          <cell r="C39" t="str">
            <v>CHOQUE FLORES SHAILY LUCERO</v>
          </cell>
          <cell r="D39" t="str">
            <v>CAD V</v>
          </cell>
          <cell r="E39" t="str">
            <v>B</v>
          </cell>
        </row>
        <row r="40">
          <cell r="B40" t="str">
            <v>60624964</v>
          </cell>
          <cell r="C40" t="str">
            <v>CHUQUIMIA MAMANI JOSUE LEONARDO</v>
          </cell>
          <cell r="D40" t="str">
            <v>CAD V</v>
          </cell>
          <cell r="E40" t="str">
            <v>B</v>
          </cell>
        </row>
        <row r="41">
          <cell r="B41" t="str">
            <v>61310665</v>
          </cell>
          <cell r="C41" t="str">
            <v>FELIX ARRATIA BRANDON ALDEIR</v>
          </cell>
          <cell r="D41" t="str">
            <v>CAD V</v>
          </cell>
          <cell r="E41" t="str">
            <v>B</v>
          </cell>
        </row>
        <row r="42">
          <cell r="B42" t="str">
            <v>61231613</v>
          </cell>
          <cell r="C42" t="str">
            <v>FLORES HUARCUSI JOSUE AGUSTIN</v>
          </cell>
          <cell r="D42" t="str">
            <v>CAD V</v>
          </cell>
          <cell r="E42" t="str">
            <v>B</v>
          </cell>
        </row>
        <row r="43">
          <cell r="B43" t="str">
            <v>61118138</v>
          </cell>
          <cell r="C43" t="str">
            <v>GALINDO ANTONIO JOSUE VLADIMIR</v>
          </cell>
          <cell r="D43" t="str">
            <v>CAD V</v>
          </cell>
          <cell r="E43" t="str">
            <v>B</v>
          </cell>
        </row>
        <row r="44">
          <cell r="B44" t="str">
            <v>61373939</v>
          </cell>
          <cell r="C44" t="str">
            <v>GARCIA ORKXO JACOBETH REYBEM</v>
          </cell>
          <cell r="D44" t="str">
            <v>CAD V</v>
          </cell>
          <cell r="E44" t="str">
            <v>B</v>
          </cell>
        </row>
        <row r="45">
          <cell r="B45" t="str">
            <v>60606177</v>
          </cell>
          <cell r="C45" t="str">
            <v>HUACANI COLQUEHUANCA CLAUDIA ESTEFANY</v>
          </cell>
          <cell r="D45" t="str">
            <v>CAD V</v>
          </cell>
          <cell r="E45" t="str">
            <v>B</v>
          </cell>
        </row>
        <row r="46">
          <cell r="B46" t="str">
            <v>61188126</v>
          </cell>
          <cell r="C46" t="str">
            <v>JIHUAÑA QUICA JUAN JHOEL ANDRES</v>
          </cell>
          <cell r="D46" t="str">
            <v>CAD V</v>
          </cell>
          <cell r="E46" t="str">
            <v>B</v>
          </cell>
        </row>
        <row r="47">
          <cell r="B47" t="str">
            <v>61170066</v>
          </cell>
          <cell r="C47" t="str">
            <v>LARICO FLORES RUDY DE JANS RICHARD</v>
          </cell>
          <cell r="D47" t="str">
            <v>CAD V</v>
          </cell>
          <cell r="E47" t="str">
            <v>B</v>
          </cell>
        </row>
        <row r="48">
          <cell r="B48" t="str">
            <v>60175863</v>
          </cell>
          <cell r="C48" t="str">
            <v>LLANQUE CHALLO DAYANA NATALY</v>
          </cell>
          <cell r="D48" t="str">
            <v>CAD V</v>
          </cell>
          <cell r="E48" t="str">
            <v>B</v>
          </cell>
        </row>
        <row r="49">
          <cell r="B49" t="str">
            <v>61310674</v>
          </cell>
          <cell r="C49" t="str">
            <v>MOLINA QUICA FABRIZIO LEONARDO</v>
          </cell>
          <cell r="D49" t="str">
            <v>CAD V</v>
          </cell>
          <cell r="E49" t="str">
            <v>B</v>
          </cell>
        </row>
        <row r="50">
          <cell r="B50" t="str">
            <v>60595365</v>
          </cell>
          <cell r="C50" t="str">
            <v>PILCO PAREDES ALEX ALFREDO</v>
          </cell>
          <cell r="D50" t="str">
            <v>CAD V</v>
          </cell>
          <cell r="E50" t="str">
            <v>B</v>
          </cell>
        </row>
        <row r="51">
          <cell r="B51" t="str">
            <v>61118021</v>
          </cell>
          <cell r="C51" t="str">
            <v>QUISPE COAYLA SEBASTIAN MISAEL</v>
          </cell>
          <cell r="D51" t="str">
            <v>CAD V</v>
          </cell>
          <cell r="E51" t="str">
            <v>B</v>
          </cell>
        </row>
        <row r="52">
          <cell r="B52" t="str">
            <v>63046244</v>
          </cell>
          <cell r="C52" t="str">
            <v>RUIZ MAQUERA JAMES JHAIRS MARCELO</v>
          </cell>
          <cell r="D52" t="str">
            <v>CAD V</v>
          </cell>
          <cell r="E52" t="str">
            <v>B</v>
          </cell>
        </row>
        <row r="53">
          <cell r="B53" t="str">
            <v>60561118</v>
          </cell>
          <cell r="C53" t="str">
            <v>TICONA CHURA YHON LISVER</v>
          </cell>
          <cell r="D53" t="str">
            <v>CAD V</v>
          </cell>
          <cell r="E53" t="str">
            <v>B</v>
          </cell>
        </row>
        <row r="54">
          <cell r="B54" t="str">
            <v>60561761</v>
          </cell>
          <cell r="C54" t="str">
            <v>TUERO TACURI KAREN MILAGROS</v>
          </cell>
          <cell r="D54" t="str">
            <v>CAD V</v>
          </cell>
          <cell r="E54" t="str">
            <v>B</v>
          </cell>
        </row>
        <row r="55">
          <cell r="B55" t="str">
            <v>60170118</v>
          </cell>
          <cell r="C55" t="str">
            <v>VALDEZ TICONA YOSELYN CAMILA</v>
          </cell>
          <cell r="D55" t="str">
            <v>CAD V</v>
          </cell>
          <cell r="E55" t="str">
            <v>B</v>
          </cell>
        </row>
        <row r="56">
          <cell r="B56" t="str">
            <v>61350614</v>
          </cell>
          <cell r="C56" t="str">
            <v>VARGAS LUNASCO BRAYAN ANTONI</v>
          </cell>
          <cell r="D56" t="str">
            <v>CAD V</v>
          </cell>
          <cell r="E56" t="str">
            <v>B</v>
          </cell>
        </row>
        <row r="57">
          <cell r="B57" t="str">
            <v>62031707</v>
          </cell>
          <cell r="C57" t="str">
            <v>ARCAYA MEJIA ANGELO DUVERLY</v>
          </cell>
          <cell r="D57" t="str">
            <v>CAD IV</v>
          </cell>
          <cell r="E57" t="str">
            <v>A</v>
          </cell>
        </row>
        <row r="58">
          <cell r="B58" t="str">
            <v>61518918</v>
          </cell>
          <cell r="C58" t="str">
            <v>AVALOS PUMA JHOMAR</v>
          </cell>
          <cell r="D58" t="str">
            <v>CAD IV</v>
          </cell>
          <cell r="E58" t="str">
            <v>A</v>
          </cell>
        </row>
        <row r="59">
          <cell r="B59" t="str">
            <v>61373763</v>
          </cell>
          <cell r="C59" t="str">
            <v>CARDENAS VILCA ANGELO CRISTHIAN</v>
          </cell>
          <cell r="D59" t="str">
            <v>CAD IV</v>
          </cell>
          <cell r="E59" t="str">
            <v>A</v>
          </cell>
        </row>
        <row r="60">
          <cell r="B60" t="str">
            <v>60064597</v>
          </cell>
          <cell r="C60" t="str">
            <v>CARTAGENA FLORES KHIMBER MAYROL FROYLAN</v>
          </cell>
          <cell r="D60" t="str">
            <v>CAD IV</v>
          </cell>
          <cell r="E60" t="str">
            <v>A</v>
          </cell>
        </row>
        <row r="61">
          <cell r="B61" t="str">
            <v>73162546</v>
          </cell>
          <cell r="C61" t="str">
            <v>CASTRO MENDOZA LUIS GONZALO</v>
          </cell>
          <cell r="D61" t="str">
            <v>CAD IV</v>
          </cell>
          <cell r="E61" t="str">
            <v>A</v>
          </cell>
        </row>
        <row r="62">
          <cell r="B62" t="str">
            <v>71679659</v>
          </cell>
          <cell r="C62" t="str">
            <v>CHIROQUE FARRO JAIRO GUIOMAR</v>
          </cell>
          <cell r="D62" t="str">
            <v>CAD IV</v>
          </cell>
          <cell r="E62" t="str">
            <v>A</v>
          </cell>
        </row>
        <row r="63">
          <cell r="B63" t="str">
            <v>61504115</v>
          </cell>
          <cell r="C63" t="str">
            <v>CLEMENCIA MAMANI FERNANDO ANGEL</v>
          </cell>
          <cell r="D63" t="str">
            <v>CAD IV</v>
          </cell>
          <cell r="E63" t="str">
            <v>A</v>
          </cell>
        </row>
        <row r="64">
          <cell r="B64" t="str">
            <v>61518874</v>
          </cell>
          <cell r="C64" t="str">
            <v>CORDOVA CONDORI JOSE ALEXANDER</v>
          </cell>
          <cell r="D64" t="str">
            <v>CAD IV</v>
          </cell>
          <cell r="E64" t="str">
            <v>A</v>
          </cell>
        </row>
        <row r="65">
          <cell r="B65" t="str">
            <v>60065072</v>
          </cell>
          <cell r="C65" t="str">
            <v>ESTRADA CARDENAS ANDERSON JUAN</v>
          </cell>
          <cell r="D65" t="str">
            <v>CAD IV</v>
          </cell>
          <cell r="E65" t="str">
            <v>A</v>
          </cell>
        </row>
        <row r="66">
          <cell r="B66" t="str">
            <v>61781802</v>
          </cell>
          <cell r="C66" t="str">
            <v xml:space="preserve">FLORES VIZCARRA JUAN DIEGO </v>
          </cell>
          <cell r="D66" t="str">
            <v>CAD IV</v>
          </cell>
          <cell r="E66" t="str">
            <v>A</v>
          </cell>
        </row>
        <row r="67">
          <cell r="B67" t="str">
            <v>72071252</v>
          </cell>
          <cell r="C67" t="str">
            <v>FUENTES VALDIVIA YDA MEYLLY</v>
          </cell>
          <cell r="D67" t="str">
            <v>CAD IV</v>
          </cell>
          <cell r="E67" t="str">
            <v>A</v>
          </cell>
        </row>
        <row r="68">
          <cell r="B68" t="str">
            <v>62931680</v>
          </cell>
          <cell r="C68" t="str">
            <v>HANCCO CALIZAYA JHAIR JEFERZON</v>
          </cell>
          <cell r="D68" t="str">
            <v>CAD IV</v>
          </cell>
          <cell r="E68" t="str">
            <v>A</v>
          </cell>
        </row>
        <row r="69">
          <cell r="B69" t="str">
            <v>61371396</v>
          </cell>
          <cell r="C69" t="str">
            <v>HERRERA MAQUERA BLANCA ROSMERALDA</v>
          </cell>
          <cell r="D69" t="str">
            <v>CAD IV</v>
          </cell>
          <cell r="E69" t="str">
            <v>A</v>
          </cell>
        </row>
        <row r="70">
          <cell r="B70" t="str">
            <v>62553264</v>
          </cell>
          <cell r="C70" t="str">
            <v>HUANCA POMA RUTH YENIFER</v>
          </cell>
          <cell r="D70" t="str">
            <v>CAD IV</v>
          </cell>
          <cell r="E70" t="str">
            <v>A</v>
          </cell>
        </row>
        <row r="71">
          <cell r="B71" t="str">
            <v>60173423</v>
          </cell>
          <cell r="C71" t="str">
            <v>LAYME CHURA YESMIT ARELY</v>
          </cell>
          <cell r="D71" t="str">
            <v>CAD IV</v>
          </cell>
          <cell r="E71" t="str">
            <v>A</v>
          </cell>
        </row>
        <row r="72">
          <cell r="B72" t="str">
            <v>61310782</v>
          </cell>
          <cell r="C72" t="str">
            <v>LIMA RAMIREZ JUAN DIEGO</v>
          </cell>
          <cell r="D72" t="str">
            <v>CAD IV</v>
          </cell>
          <cell r="E72" t="str">
            <v>A</v>
          </cell>
        </row>
        <row r="73">
          <cell r="B73" t="str">
            <v>61519007</v>
          </cell>
          <cell r="C73" t="str">
            <v>LLANQUE LLOCLLE RODRIGO SEBASTIAN</v>
          </cell>
          <cell r="D73" t="str">
            <v>CAD IV</v>
          </cell>
          <cell r="E73" t="str">
            <v>A</v>
          </cell>
        </row>
        <row r="74">
          <cell r="B74" t="str">
            <v>60643760</v>
          </cell>
          <cell r="C74" t="str">
            <v>MAMANI FLORES FABRICIO JANPIER</v>
          </cell>
          <cell r="D74" t="str">
            <v>CAD IV</v>
          </cell>
          <cell r="E74" t="str">
            <v>A</v>
          </cell>
        </row>
        <row r="75">
          <cell r="B75" t="str">
            <v>60305496</v>
          </cell>
          <cell r="C75" t="str">
            <v>OROSCO RAYMUNDO JHONSU</v>
          </cell>
          <cell r="D75" t="str">
            <v>CAD IV</v>
          </cell>
          <cell r="E75" t="str">
            <v>A</v>
          </cell>
        </row>
        <row r="76">
          <cell r="B76" t="str">
            <v>80877237</v>
          </cell>
          <cell r="C76" t="str">
            <v>PEÑA CONDORI MARYLE CONSTANZA</v>
          </cell>
          <cell r="D76" t="str">
            <v>CAD IV</v>
          </cell>
          <cell r="E76" t="str">
            <v>A</v>
          </cell>
        </row>
        <row r="77">
          <cell r="B77" t="str">
            <v>61373893</v>
          </cell>
          <cell r="C77" t="str">
            <v>QUIROZ HUALLPA TATIANA IBET</v>
          </cell>
          <cell r="D77" t="str">
            <v>CAD IV</v>
          </cell>
          <cell r="E77" t="str">
            <v>A</v>
          </cell>
        </row>
        <row r="78">
          <cell r="B78" t="str">
            <v>61518996</v>
          </cell>
          <cell r="C78" t="str">
            <v>QUISPE FLORES EDU ARMANDO</v>
          </cell>
          <cell r="D78" t="str">
            <v>CAD IV</v>
          </cell>
          <cell r="E78" t="str">
            <v>A</v>
          </cell>
        </row>
        <row r="79">
          <cell r="B79" t="str">
            <v>61371534</v>
          </cell>
          <cell r="C79" t="str">
            <v>RAMOS ROSAS MARIANELLA</v>
          </cell>
          <cell r="D79" t="str">
            <v>CAD IV</v>
          </cell>
          <cell r="E79" t="str">
            <v>A</v>
          </cell>
        </row>
        <row r="80">
          <cell r="B80" t="str">
            <v>61442486</v>
          </cell>
          <cell r="C80" t="str">
            <v>TACORA SANDOVAL CLAUDIO JOSE DANIEL</v>
          </cell>
          <cell r="D80" t="str">
            <v>CAD IV</v>
          </cell>
          <cell r="E80" t="str">
            <v>A</v>
          </cell>
        </row>
        <row r="81">
          <cell r="B81" t="str">
            <v>60349422</v>
          </cell>
          <cell r="C81" t="str">
            <v xml:space="preserve">TOLEDO CUSI MAIKOL ANGEL </v>
          </cell>
          <cell r="D81" t="str">
            <v>CAD IV</v>
          </cell>
          <cell r="E81" t="str">
            <v>A</v>
          </cell>
        </row>
        <row r="82">
          <cell r="B82" t="str">
            <v>60716773</v>
          </cell>
          <cell r="C82" t="str">
            <v>VALDEZ YUJRA YUBERT GHOSMELL</v>
          </cell>
          <cell r="D82" t="str">
            <v>CAD IV</v>
          </cell>
          <cell r="E82" t="str">
            <v>A</v>
          </cell>
        </row>
        <row r="83">
          <cell r="B83" t="str">
            <v>61504237</v>
          </cell>
          <cell r="C83" t="str">
            <v>VILCA COLQUEHUANCA KEVIN ARNOL</v>
          </cell>
          <cell r="D83" t="str">
            <v>CAD IV</v>
          </cell>
          <cell r="E83" t="str">
            <v>A</v>
          </cell>
        </row>
        <row r="84">
          <cell r="B84" t="str">
            <v>60632875</v>
          </cell>
          <cell r="C84" t="str">
            <v>YANAPA CHAMBI SHEILA MARICARMEN</v>
          </cell>
          <cell r="D84" t="str">
            <v>CAD IV</v>
          </cell>
          <cell r="E84" t="str">
            <v>A</v>
          </cell>
        </row>
        <row r="85">
          <cell r="B85" t="str">
            <v>61563592</v>
          </cell>
          <cell r="C85" t="str">
            <v>ANAHUI GOSME SHEYLA YAMILE</v>
          </cell>
          <cell r="D85" t="str">
            <v>CAD IV</v>
          </cell>
          <cell r="E85" t="str">
            <v>B</v>
          </cell>
        </row>
        <row r="86">
          <cell r="B86" t="str">
            <v>61938994</v>
          </cell>
          <cell r="C86" t="str">
            <v>AROCUTIPA CARI FRANK ANTHONY</v>
          </cell>
          <cell r="D86" t="str">
            <v>CAD IV</v>
          </cell>
          <cell r="E86" t="str">
            <v>B</v>
          </cell>
        </row>
        <row r="87">
          <cell r="B87">
            <v>61351552</v>
          </cell>
          <cell r="C87" t="str">
            <v>CALIZAYA CUNURANA GIANPIERRE FABRIZIO</v>
          </cell>
          <cell r="D87" t="str">
            <v>CAD IV</v>
          </cell>
          <cell r="E87" t="str">
            <v>B</v>
          </cell>
        </row>
        <row r="88">
          <cell r="B88" t="str">
            <v>60065227</v>
          </cell>
          <cell r="C88" t="str">
            <v>CATACORA ALAVE KENYI CRISTHIAN</v>
          </cell>
          <cell r="D88" t="str">
            <v>CAD IV</v>
          </cell>
          <cell r="E88" t="str">
            <v>B</v>
          </cell>
        </row>
        <row r="89">
          <cell r="B89" t="str">
            <v>61557417</v>
          </cell>
          <cell r="C89" t="str">
            <v>ENCINAS LIMA JOEL</v>
          </cell>
          <cell r="D89" t="str">
            <v>CAD IV</v>
          </cell>
          <cell r="E89" t="str">
            <v>B</v>
          </cell>
        </row>
        <row r="90">
          <cell r="B90" t="str">
            <v>61566855</v>
          </cell>
          <cell r="C90" t="str">
            <v>ENRIQUEZ MAMANI MAURICIO JUAN ANDRE</v>
          </cell>
          <cell r="D90" t="str">
            <v>CAD IV</v>
          </cell>
          <cell r="E90" t="str">
            <v>B</v>
          </cell>
        </row>
        <row r="91">
          <cell r="B91" t="str">
            <v>61447519</v>
          </cell>
          <cell r="C91" t="str">
            <v>HUANCA CONDORI SHIRLEY STEPHANIE</v>
          </cell>
          <cell r="D91" t="str">
            <v>CAD IV</v>
          </cell>
          <cell r="E91" t="str">
            <v>B</v>
          </cell>
        </row>
        <row r="92">
          <cell r="B92" t="str">
            <v>62024606</v>
          </cell>
          <cell r="C92" t="str">
            <v>HURTADO RODRIGUEZ WENDY MARGARITA</v>
          </cell>
          <cell r="D92" t="str">
            <v>CAD IV</v>
          </cell>
          <cell r="E92" t="str">
            <v>B</v>
          </cell>
        </row>
        <row r="93">
          <cell r="B93" t="str">
            <v>61442685</v>
          </cell>
          <cell r="C93" t="str">
            <v>JIMENEZ CARITA ANDREA DEL PILAR</v>
          </cell>
          <cell r="D93" t="str">
            <v>CAD IV</v>
          </cell>
          <cell r="E93" t="str">
            <v>B</v>
          </cell>
        </row>
        <row r="94">
          <cell r="B94" t="str">
            <v>61595354</v>
          </cell>
          <cell r="C94" t="str">
            <v>LLANOS CHURA JHON DEYVIS</v>
          </cell>
          <cell r="D94" t="str">
            <v>CAD IV</v>
          </cell>
          <cell r="E94" t="str">
            <v>B</v>
          </cell>
        </row>
        <row r="95">
          <cell r="B95" t="str">
            <v>62020031</v>
          </cell>
          <cell r="C95" t="str">
            <v>MACHACA ORDOÑO JUAN DIEGO</v>
          </cell>
          <cell r="D95" t="str">
            <v>CAD IV</v>
          </cell>
          <cell r="E95" t="str">
            <v>B</v>
          </cell>
        </row>
        <row r="96">
          <cell r="B96" t="str">
            <v>60332430</v>
          </cell>
          <cell r="C96" t="str">
            <v>MAMANI ANAHUA HEYMER GINO</v>
          </cell>
          <cell r="D96" t="str">
            <v>CAD IV</v>
          </cell>
          <cell r="E96" t="str">
            <v>B</v>
          </cell>
        </row>
        <row r="97">
          <cell r="B97" t="str">
            <v>61816622</v>
          </cell>
          <cell r="C97" t="str">
            <v>MAYORGA MAMANI MILDER RODRIGO</v>
          </cell>
          <cell r="D97" t="str">
            <v>CAD IV</v>
          </cell>
          <cell r="E97" t="str">
            <v>B</v>
          </cell>
        </row>
        <row r="98">
          <cell r="B98" t="str">
            <v>61373936</v>
          </cell>
          <cell r="C98" t="str">
            <v>NINA MENDOZA LEONEL DEXTER</v>
          </cell>
          <cell r="D98" t="str">
            <v>CAD IV</v>
          </cell>
          <cell r="E98" t="str">
            <v>B</v>
          </cell>
        </row>
        <row r="99">
          <cell r="B99" t="str">
            <v>61536680</v>
          </cell>
          <cell r="C99" t="str">
            <v>PACORICONA QUISPE ANGELES FERNANDA</v>
          </cell>
          <cell r="D99" t="str">
            <v>CAD IV</v>
          </cell>
          <cell r="E99" t="str">
            <v>B</v>
          </cell>
        </row>
        <row r="100">
          <cell r="B100" t="str">
            <v>61513634</v>
          </cell>
          <cell r="C100" t="str">
            <v>PACOVILCA TUYO JESUS ARMANDO</v>
          </cell>
          <cell r="D100" t="str">
            <v>CAD IV</v>
          </cell>
          <cell r="E100" t="str">
            <v>B</v>
          </cell>
        </row>
        <row r="101">
          <cell r="B101" t="str">
            <v>81139758</v>
          </cell>
          <cell r="C101" t="str">
            <v>PEREZ TICONA ANDERSON ADRIAN</v>
          </cell>
          <cell r="D101" t="str">
            <v>CAD IV</v>
          </cell>
          <cell r="E101" t="str">
            <v>B</v>
          </cell>
        </row>
        <row r="102">
          <cell r="B102" t="str">
            <v>61781464</v>
          </cell>
          <cell r="C102" t="str">
            <v>QUILLE ESTAÑA CASEY NICOLLE</v>
          </cell>
          <cell r="D102" t="str">
            <v>CAD IV</v>
          </cell>
          <cell r="E102" t="str">
            <v>B</v>
          </cell>
        </row>
        <row r="103">
          <cell r="B103" t="str">
            <v>61373679</v>
          </cell>
          <cell r="C103" t="str">
            <v>QUISO CHOQUEGONZA LUIS FERNANDO</v>
          </cell>
          <cell r="D103" t="str">
            <v>CAD IV</v>
          </cell>
          <cell r="E103" t="str">
            <v>B</v>
          </cell>
        </row>
        <row r="104">
          <cell r="B104" t="str">
            <v>61521587</v>
          </cell>
          <cell r="C104" t="str">
            <v>RIVERA CONDORI YERSON ANTHONY</v>
          </cell>
          <cell r="D104" t="str">
            <v>CAD IV</v>
          </cell>
          <cell r="E104" t="str">
            <v>B</v>
          </cell>
        </row>
        <row r="105">
          <cell r="B105" t="str">
            <v>60614875</v>
          </cell>
          <cell r="C105" t="str">
            <v>ROQUE ALAJORCO THALIA RUBI</v>
          </cell>
          <cell r="D105" t="str">
            <v>CAD IV</v>
          </cell>
          <cell r="E105" t="str">
            <v>B</v>
          </cell>
        </row>
        <row r="106">
          <cell r="B106" t="str">
            <v>61447582</v>
          </cell>
          <cell r="C106" t="str">
            <v>SALCEDO CHAMBI JHORDY YHEYSON</v>
          </cell>
          <cell r="D106" t="str">
            <v>CAD IV</v>
          </cell>
          <cell r="E106" t="str">
            <v>B</v>
          </cell>
        </row>
        <row r="107">
          <cell r="B107" t="str">
            <v>60666972</v>
          </cell>
          <cell r="C107" t="str">
            <v>VALDEZ CHACHAQUE JOHN ARMANDO</v>
          </cell>
          <cell r="D107" t="str">
            <v>CAD IV</v>
          </cell>
          <cell r="E107" t="str">
            <v>B</v>
          </cell>
        </row>
        <row r="108">
          <cell r="B108" t="str">
            <v>61518893</v>
          </cell>
          <cell r="C108" t="str">
            <v>VARGAS FUENTES SHEYLA VIVIANA ADBETH</v>
          </cell>
          <cell r="D108" t="str">
            <v>CAD IV</v>
          </cell>
          <cell r="E108" t="str">
            <v>B</v>
          </cell>
        </row>
        <row r="109">
          <cell r="B109" t="str">
            <v>61504238</v>
          </cell>
          <cell r="C109" t="str">
            <v>VILCA COLQUEHUANCA ARONI LUIZ</v>
          </cell>
          <cell r="D109" t="str">
            <v>CAD IV</v>
          </cell>
          <cell r="E109" t="str">
            <v>B</v>
          </cell>
        </row>
        <row r="110">
          <cell r="B110" t="str">
            <v>61802992</v>
          </cell>
          <cell r="C110" t="str">
            <v>YUCRA FLORES KENNY MICHAEL</v>
          </cell>
          <cell r="D110" t="str">
            <v>CAD IV</v>
          </cell>
          <cell r="E110" t="str">
            <v>B</v>
          </cell>
        </row>
        <row r="111">
          <cell r="B111" t="str">
            <v>61388695</v>
          </cell>
          <cell r="C111" t="str">
            <v>ZAPATA POSTIGO MARCELA CAMILA</v>
          </cell>
          <cell r="D111" t="str">
            <v>CAD IV</v>
          </cell>
          <cell r="E111" t="str">
            <v>B</v>
          </cell>
        </row>
        <row r="112">
          <cell r="B112" t="str">
            <v>61829540</v>
          </cell>
          <cell r="C112" t="str">
            <v>ZELADA TICONA CRIZEL ZARELY</v>
          </cell>
          <cell r="D112" t="str">
            <v>CAD III</v>
          </cell>
          <cell r="E112" t="str">
            <v>A</v>
          </cell>
        </row>
        <row r="113">
          <cell r="B113" t="str">
            <v>62556272</v>
          </cell>
          <cell r="C113" t="str">
            <v>MAMANI CHIPANA DANIEL JESUS</v>
          </cell>
          <cell r="D113" t="str">
            <v>CAD III</v>
          </cell>
          <cell r="E113" t="str">
            <v>A</v>
          </cell>
        </row>
        <row r="114">
          <cell r="B114" t="str">
            <v>61781261</v>
          </cell>
          <cell r="C114" t="str">
            <v xml:space="preserve">LAURA YANQUI RENZO FERNANDO MATHIAS </v>
          </cell>
          <cell r="D114" t="str">
            <v>CAD III</v>
          </cell>
          <cell r="E114" t="str">
            <v>A</v>
          </cell>
        </row>
        <row r="115">
          <cell r="B115" t="str">
            <v>91717762</v>
          </cell>
          <cell r="C115" t="str">
            <v>VEGA CANDIA MAXIMO ANDRES</v>
          </cell>
          <cell r="D115" t="str">
            <v>CAD III</v>
          </cell>
          <cell r="E115" t="str">
            <v>A</v>
          </cell>
        </row>
        <row r="116">
          <cell r="B116" t="str">
            <v>61834986</v>
          </cell>
          <cell r="C116" t="str">
            <v>HUAMAN KACHA KINA ISABEL</v>
          </cell>
          <cell r="D116" t="str">
            <v>CAD III</v>
          </cell>
          <cell r="E116" t="str">
            <v>A</v>
          </cell>
        </row>
        <row r="117">
          <cell r="B117" t="str">
            <v>61692472</v>
          </cell>
          <cell r="C117" t="str">
            <v xml:space="preserve">PRADO TICONA CARLOS MIGUEL </v>
          </cell>
          <cell r="D117" t="str">
            <v>CAD III</v>
          </cell>
          <cell r="E117" t="str">
            <v>A</v>
          </cell>
        </row>
        <row r="118">
          <cell r="B118" t="str">
            <v>61994583</v>
          </cell>
          <cell r="C118" t="str">
            <v>QUENAYA CHOQUEGONZA JHON JAIME</v>
          </cell>
          <cell r="D118" t="str">
            <v>CAD III</v>
          </cell>
          <cell r="E118" t="str">
            <v>A</v>
          </cell>
        </row>
        <row r="119">
          <cell r="B119" t="str">
            <v>61888316</v>
          </cell>
          <cell r="C119" t="str">
            <v>ROSAS QUISPE THIERRI HENRI</v>
          </cell>
          <cell r="D119" t="str">
            <v>CAD III</v>
          </cell>
          <cell r="E119" t="str">
            <v>A</v>
          </cell>
        </row>
        <row r="120">
          <cell r="B120" t="str">
            <v>61819478</v>
          </cell>
          <cell r="C120" t="str">
            <v>QUENTA LAQUI NALIA SOLEDAD</v>
          </cell>
          <cell r="D120" t="str">
            <v>CAD III</v>
          </cell>
          <cell r="E120" t="str">
            <v>A</v>
          </cell>
        </row>
        <row r="121">
          <cell r="B121" t="str">
            <v>61945459</v>
          </cell>
          <cell r="C121" t="str">
            <v>QUISPE VARGAS GUIELLERMO AECIO</v>
          </cell>
          <cell r="D121" t="str">
            <v>CAD III</v>
          </cell>
          <cell r="E121" t="str">
            <v>A</v>
          </cell>
        </row>
        <row r="122">
          <cell r="B122" t="str">
            <v>62354281</v>
          </cell>
          <cell r="C122" t="str">
            <v>MAQUERA QUISPE JHOEL ANTONY</v>
          </cell>
          <cell r="D122" t="str">
            <v>CAD III</v>
          </cell>
          <cell r="E122" t="str">
            <v>A</v>
          </cell>
        </row>
        <row r="123">
          <cell r="B123" t="str">
            <v>61874711</v>
          </cell>
          <cell r="C123" t="str">
            <v>CRISOSTOMO BLANCO ALEXIS PIERO</v>
          </cell>
          <cell r="D123" t="str">
            <v>CAD III</v>
          </cell>
          <cell r="E123" t="str">
            <v>A</v>
          </cell>
        </row>
        <row r="124">
          <cell r="B124" t="str">
            <v>61769820</v>
          </cell>
          <cell r="C124" t="str">
            <v>MAMANI COPA CLARIBETH STEPHANIE</v>
          </cell>
          <cell r="D124" t="str">
            <v>CAD III</v>
          </cell>
          <cell r="E124" t="str">
            <v>A</v>
          </cell>
        </row>
        <row r="125">
          <cell r="B125" t="str">
            <v>61874711</v>
          </cell>
          <cell r="C125" t="str">
            <v>CRISTOBAL PAREDES JULIO CESAR</v>
          </cell>
          <cell r="D125" t="str">
            <v>CAD III</v>
          </cell>
          <cell r="E125" t="str">
            <v>A</v>
          </cell>
        </row>
        <row r="126">
          <cell r="B126" t="str">
            <v>61558896</v>
          </cell>
          <cell r="C126" t="str">
            <v>CURO ALAVE EDDIE CRISTHIAN</v>
          </cell>
          <cell r="D126" t="str">
            <v>CAD III</v>
          </cell>
          <cell r="E126" t="str">
            <v>A</v>
          </cell>
        </row>
        <row r="127">
          <cell r="B127" t="str">
            <v>61829048</v>
          </cell>
          <cell r="C127" t="str">
            <v xml:space="preserve">DELGADO FLORES NICOLE ALISON </v>
          </cell>
          <cell r="D127" t="str">
            <v>CAD III</v>
          </cell>
          <cell r="E127" t="str">
            <v>A</v>
          </cell>
        </row>
        <row r="128">
          <cell r="B128" t="str">
            <v>61896557</v>
          </cell>
          <cell r="C128" t="str">
            <v>CORASI PERCA ABDIEL SANTIAGO</v>
          </cell>
          <cell r="D128" t="str">
            <v>CAD III</v>
          </cell>
          <cell r="E128" t="str">
            <v>A</v>
          </cell>
        </row>
        <row r="129">
          <cell r="B129" t="str">
            <v>62817518</v>
          </cell>
          <cell r="C129" t="str">
            <v>CHEVEZ MAMANI JHERSON SAMUEL</v>
          </cell>
          <cell r="D129" t="str">
            <v>CAD III</v>
          </cell>
          <cell r="E129" t="str">
            <v>A</v>
          </cell>
        </row>
        <row r="130">
          <cell r="B130" t="str">
            <v>62005359</v>
          </cell>
          <cell r="C130" t="str">
            <v xml:space="preserve">AQUINO VASQUEZ ELIAS DAVID </v>
          </cell>
          <cell r="D130" t="str">
            <v>CAD III</v>
          </cell>
          <cell r="E130" t="str">
            <v>A</v>
          </cell>
        </row>
        <row r="131">
          <cell r="B131" t="str">
            <v>62556628</v>
          </cell>
          <cell r="C131" t="str">
            <v xml:space="preserve">QUISPE CARDENAS CRISTOFER ANDRE </v>
          </cell>
          <cell r="D131" t="str">
            <v>CAD III</v>
          </cell>
          <cell r="E131" t="str">
            <v>A</v>
          </cell>
        </row>
        <row r="132">
          <cell r="B132" t="str">
            <v>62347822</v>
          </cell>
          <cell r="C132" t="str">
            <v>PEÑALOZA MENDOZA ISMAEL JOSHUA</v>
          </cell>
          <cell r="D132" t="str">
            <v>CAD III</v>
          </cell>
          <cell r="E132" t="str">
            <v>A</v>
          </cell>
        </row>
        <row r="133">
          <cell r="B133" t="str">
            <v>61888251</v>
          </cell>
          <cell r="C133" t="str">
            <v>MAMANI CAPIA CRISTIAN DANYERS</v>
          </cell>
          <cell r="D133" t="str">
            <v>CAD III</v>
          </cell>
          <cell r="E133" t="str">
            <v>A</v>
          </cell>
        </row>
        <row r="134">
          <cell r="B134" t="str">
            <v>61875232</v>
          </cell>
          <cell r="C134" t="str">
            <v>VILLALBA MAUELO ANGOBALDO ARTURO</v>
          </cell>
          <cell r="D134" t="str">
            <v>CAD III</v>
          </cell>
          <cell r="E134" t="str">
            <v>A</v>
          </cell>
        </row>
        <row r="135">
          <cell r="B135" t="str">
            <v>61828993</v>
          </cell>
          <cell r="C135" t="str">
            <v>CORNEJO SILVA DANA AINARA</v>
          </cell>
          <cell r="D135" t="str">
            <v>CAD III</v>
          </cell>
          <cell r="E135" t="str">
            <v>A</v>
          </cell>
        </row>
        <row r="136">
          <cell r="B136" t="str">
            <v>61829154</v>
          </cell>
          <cell r="C136" t="str">
            <v>RIVERA CUEVA ANGEL MICHAEL</v>
          </cell>
          <cell r="D136" t="str">
            <v>CAD III</v>
          </cell>
          <cell r="E136" t="str">
            <v>A</v>
          </cell>
        </row>
        <row r="137">
          <cell r="B137" t="str">
            <v>61994490</v>
          </cell>
          <cell r="C137" t="str">
            <v>ZEGARRA OROCOLLO LUIS ALBERTO</v>
          </cell>
          <cell r="D137" t="str">
            <v>CAD III</v>
          </cell>
          <cell r="E137" t="str">
            <v>A</v>
          </cell>
        </row>
        <row r="138">
          <cell r="B138" t="str">
            <v>62347804</v>
          </cell>
          <cell r="C138" t="str">
            <v>LOPEZ GREENWICH ANGELO SEBASTIAN</v>
          </cell>
          <cell r="D138" t="str">
            <v>CAD III</v>
          </cell>
          <cell r="E138" t="str">
            <v>A</v>
          </cell>
        </row>
        <row r="139">
          <cell r="B139" t="str">
            <v>61730974</v>
          </cell>
          <cell r="C139" t="str">
            <v>BARRERA RAMOS MATHIAS JOSUE</v>
          </cell>
          <cell r="D139" t="str">
            <v>CAD III</v>
          </cell>
          <cell r="E139" t="str">
            <v>A</v>
          </cell>
        </row>
        <row r="140">
          <cell r="B140" t="str">
            <v>61888281</v>
          </cell>
          <cell r="C140" t="str">
            <v>ARANA QUISPE LISBETH YOSELIN</v>
          </cell>
          <cell r="D140" t="str">
            <v>CAD III</v>
          </cell>
          <cell r="E140" t="str">
            <v>A</v>
          </cell>
        </row>
        <row r="141">
          <cell r="B141" t="str">
            <v>61651064</v>
          </cell>
          <cell r="C141" t="str">
            <v>CORDOVA CUMBIA TAYZ NIKOOL</v>
          </cell>
          <cell r="D141" t="str">
            <v>CAD III</v>
          </cell>
          <cell r="E141" t="str">
            <v>A</v>
          </cell>
        </row>
        <row r="142">
          <cell r="B142" t="str">
            <v>62090054</v>
          </cell>
          <cell r="C142" t="str">
            <v>VENANCIO ROJAS ANDREIU YOSMELL</v>
          </cell>
          <cell r="D142" t="str">
            <v>CAD III</v>
          </cell>
          <cell r="E142" t="str">
            <v>B</v>
          </cell>
        </row>
        <row r="143">
          <cell r="B143" t="str">
            <v>61874714</v>
          </cell>
          <cell r="C143" t="str">
            <v>CONDORI PAREDES AARON NAHUEL</v>
          </cell>
          <cell r="D143" t="str">
            <v>CAD III</v>
          </cell>
          <cell r="E143" t="str">
            <v>B</v>
          </cell>
        </row>
        <row r="144">
          <cell r="B144" t="str">
            <v>61875059</v>
          </cell>
          <cell r="C144" t="str">
            <v>PANCCA CHUCUYA DAMIAN YIMY</v>
          </cell>
          <cell r="D144" t="str">
            <v>CAD III</v>
          </cell>
          <cell r="E144" t="str">
            <v>B</v>
          </cell>
        </row>
        <row r="145">
          <cell r="B145" t="str">
            <v>61442222</v>
          </cell>
          <cell r="C145" t="str">
            <v>LANCHIPA MAMANI JOSUE ALEXANDER</v>
          </cell>
          <cell r="D145" t="str">
            <v>CAD III</v>
          </cell>
          <cell r="E145" t="str">
            <v>B</v>
          </cell>
        </row>
        <row r="146">
          <cell r="B146" t="str">
            <v>61875126</v>
          </cell>
          <cell r="C146" t="str">
            <v>VELASQUEZ CHINO BEILING SCHENEIDER</v>
          </cell>
          <cell r="D146" t="str">
            <v>CAD III</v>
          </cell>
          <cell r="E146" t="str">
            <v>B</v>
          </cell>
        </row>
        <row r="147">
          <cell r="B147" t="str">
            <v>62556538</v>
          </cell>
          <cell r="C147" t="str">
            <v>TAPIA QUISPE ANDRE GIOVANNI</v>
          </cell>
          <cell r="D147" t="str">
            <v>CAD III</v>
          </cell>
          <cell r="E147" t="str">
            <v>B</v>
          </cell>
        </row>
        <row r="148">
          <cell r="B148" t="str">
            <v>62347889</v>
          </cell>
          <cell r="C148" t="str">
            <v>AQUINO ALAJORCO BRAYAN RAUL</v>
          </cell>
          <cell r="D148" t="str">
            <v>CAD III</v>
          </cell>
          <cell r="E148" t="str">
            <v>B</v>
          </cell>
        </row>
        <row r="149">
          <cell r="B149" t="str">
            <v>62665223</v>
          </cell>
          <cell r="C149" t="str">
            <v>MAMANI CONDORI FAVIO YOSSIMAR</v>
          </cell>
          <cell r="D149" t="str">
            <v>CAD III</v>
          </cell>
          <cell r="E149" t="str">
            <v>B</v>
          </cell>
        </row>
        <row r="150">
          <cell r="B150" t="str">
            <v>62465179</v>
          </cell>
          <cell r="C150" t="str">
            <v>SALCEDO FLORES JUAN DIEGO</v>
          </cell>
          <cell r="D150" t="str">
            <v>CAD III</v>
          </cell>
          <cell r="E150" t="str">
            <v>B</v>
          </cell>
        </row>
        <row r="151">
          <cell r="B151" t="str">
            <v>61829327</v>
          </cell>
          <cell r="C151" t="str">
            <v>AGUILAR AYUNTA PAOLO SEBASTIAN</v>
          </cell>
          <cell r="D151" t="str">
            <v>CAD III</v>
          </cell>
          <cell r="E151" t="str">
            <v>B</v>
          </cell>
        </row>
        <row r="152">
          <cell r="B152" t="str">
            <v>61829673</v>
          </cell>
          <cell r="C152" t="str">
            <v>ARRATIA RIVERA ALESSANDRO DEL PIERO</v>
          </cell>
          <cell r="D152" t="str">
            <v>CAD III</v>
          </cell>
          <cell r="E152" t="str">
            <v>B</v>
          </cell>
        </row>
        <row r="153">
          <cell r="B153" t="str">
            <v>62314386</v>
          </cell>
          <cell r="C153" t="str">
            <v>QUELOPANA HINOSTROZA FERNANDO JOSE</v>
          </cell>
          <cell r="D153" t="str">
            <v>CAD III</v>
          </cell>
          <cell r="E153" t="str">
            <v>B</v>
          </cell>
        </row>
        <row r="154">
          <cell r="B154" t="str">
            <v>60178632</v>
          </cell>
          <cell r="C154" t="str">
            <v>APAZA CRUZ MARY LUZ</v>
          </cell>
          <cell r="D154" t="str">
            <v>CAD III</v>
          </cell>
          <cell r="E154" t="str">
            <v>B</v>
          </cell>
        </row>
        <row r="155">
          <cell r="B155" t="str">
            <v>61903372</v>
          </cell>
          <cell r="C155" t="str">
            <v>ZAPANA HUAYTA YOELINA NEYSA</v>
          </cell>
          <cell r="D155" t="str">
            <v>CAD III</v>
          </cell>
          <cell r="E155" t="str">
            <v>B</v>
          </cell>
        </row>
        <row r="156">
          <cell r="B156" t="str">
            <v>62149665</v>
          </cell>
          <cell r="C156" t="str">
            <v>CRUZ GUERRERO YAMPIER EDISON</v>
          </cell>
          <cell r="D156" t="str">
            <v>CAD III</v>
          </cell>
          <cell r="E156" t="str">
            <v>B</v>
          </cell>
        </row>
        <row r="157">
          <cell r="B157" t="str">
            <v>61745788</v>
          </cell>
          <cell r="C157" t="str">
            <v>CASTRO RAMOS EDGAR REICK</v>
          </cell>
          <cell r="D157" t="str">
            <v>CAD III</v>
          </cell>
          <cell r="E157" t="str">
            <v>B</v>
          </cell>
        </row>
        <row r="158">
          <cell r="B158" t="str">
            <v>61829428</v>
          </cell>
          <cell r="C158" t="str">
            <v>HUANCA FLORES AARON MOISES</v>
          </cell>
          <cell r="D158" t="str">
            <v>CAD III</v>
          </cell>
          <cell r="E158" t="str">
            <v>B</v>
          </cell>
        </row>
        <row r="159">
          <cell r="B159" t="str">
            <v>62354251</v>
          </cell>
          <cell r="C159" t="str">
            <v>VIZCARRA CAHUANA NOEMI MAGDIEL</v>
          </cell>
          <cell r="D159" t="str">
            <v>CAD III</v>
          </cell>
          <cell r="E159" t="str">
            <v>B</v>
          </cell>
        </row>
        <row r="160">
          <cell r="B160" t="str">
            <v>62546491</v>
          </cell>
          <cell r="C160" t="str">
            <v>MALLEA QUENAYA ANDY FABIAN</v>
          </cell>
          <cell r="D160" t="str">
            <v>CAD III</v>
          </cell>
          <cell r="E160" t="str">
            <v>B</v>
          </cell>
        </row>
        <row r="161">
          <cell r="B161">
            <v>62363034</v>
          </cell>
          <cell r="C161" t="str">
            <v>CHAMBILLA CACHICATARI JOEL ADRIEL</v>
          </cell>
          <cell r="D161" t="str">
            <v>CAD III</v>
          </cell>
          <cell r="E161" t="str">
            <v>B</v>
          </cell>
        </row>
        <row r="162">
          <cell r="B162" t="str">
            <v>62556663</v>
          </cell>
          <cell r="C162" t="str">
            <v>QUISPE ANCCO ARIANNE FERNANDA</v>
          </cell>
          <cell r="D162" t="str">
            <v>CAD III</v>
          </cell>
          <cell r="E162" t="str">
            <v>B</v>
          </cell>
        </row>
        <row r="163">
          <cell r="B163" t="str">
            <v>62387378</v>
          </cell>
          <cell r="C163" t="str">
            <v>VILCA MAMANI PIERO ENZO OSMAN</v>
          </cell>
          <cell r="D163" t="str">
            <v>CAD III</v>
          </cell>
          <cell r="E163" t="str">
            <v>B</v>
          </cell>
        </row>
        <row r="164">
          <cell r="B164" t="str">
            <v>61796289</v>
          </cell>
          <cell r="C164" t="str">
            <v>ILLA AVENDAÑO MASIEL ROSALIA</v>
          </cell>
          <cell r="D164" t="str">
            <v>CAD III</v>
          </cell>
          <cell r="E164" t="str">
            <v>B</v>
          </cell>
        </row>
        <row r="165">
          <cell r="B165" t="str">
            <v>73296699</v>
          </cell>
          <cell r="C165" t="str">
            <v>BECERRA TORRES MELISSA</v>
          </cell>
          <cell r="D165" t="str">
            <v>CAD III</v>
          </cell>
          <cell r="E165" t="str">
            <v>B</v>
          </cell>
        </row>
        <row r="166">
          <cell r="B166" t="str">
            <v>60065247</v>
          </cell>
          <cell r="C166" t="str">
            <v>APAZA ADUVIRE BENJAMIN EDUARDO</v>
          </cell>
          <cell r="D166" t="str">
            <v>CAD III</v>
          </cell>
          <cell r="E166" t="str">
            <v>B</v>
          </cell>
        </row>
        <row r="167">
          <cell r="B167" t="str">
            <v>62347793</v>
          </cell>
          <cell r="C167" t="str">
            <v>HUANCA CHANINI KEVIN YOSTIN</v>
          </cell>
          <cell r="D167" t="str">
            <v>CAD III</v>
          </cell>
          <cell r="E167" t="str">
            <v>B</v>
          </cell>
        </row>
        <row r="168">
          <cell r="B168" t="str">
            <v>62347830</v>
          </cell>
          <cell r="C168" t="str">
            <v>CAUNA PAUCAR SHAHID ADRIAN YAEL</v>
          </cell>
          <cell r="D168" t="str">
            <v>CAD III</v>
          </cell>
          <cell r="E168" t="str">
            <v>B</v>
          </cell>
        </row>
        <row r="169">
          <cell r="B169" t="str">
            <v>61819376</v>
          </cell>
          <cell r="C169" t="str">
            <v>FERNANDEZ ZAPANA JULIO CESAR MATHIAS</v>
          </cell>
          <cell r="D169" t="str">
            <v>CAD III</v>
          </cell>
          <cell r="E169" t="str">
            <v>B</v>
          </cell>
        </row>
        <row r="170">
          <cell r="B170" t="str">
            <v>61928800</v>
          </cell>
          <cell r="C170" t="str">
            <v xml:space="preserve">YANQUI TORREBLANCA JOSE SANTIAGO </v>
          </cell>
          <cell r="D170" t="str">
            <v>CAD III</v>
          </cell>
          <cell r="E170" t="str">
            <v>B</v>
          </cell>
        </row>
        <row r="171">
          <cell r="B171" t="str">
            <v>61945456</v>
          </cell>
          <cell r="C171" t="str">
            <v>CONDORI GUZMAN FARID GABRIEL</v>
          </cell>
          <cell r="D171" t="str">
            <v>CAD III</v>
          </cell>
          <cell r="E171" t="str">
            <v>B</v>
          </cell>
        </row>
      </sheetData>
      <sheetData sheetId="3">
        <row r="1">
          <cell r="A1" t="str">
            <v>CODIGO</v>
          </cell>
          <cell r="B1" t="str">
            <v>CAD III</v>
          </cell>
          <cell r="C1" t="str">
            <v>CAD IV</v>
          </cell>
          <cell r="D1" t="str">
            <v>CAD V</v>
          </cell>
          <cell r="E1" t="str">
            <v>reinc</v>
          </cell>
          <cell r="F1" t="str">
            <v>NOTA</v>
          </cell>
          <cell r="G1" t="str">
            <v>DESCRIPCION DEL CASTIGO</v>
          </cell>
        </row>
        <row r="2">
          <cell r="A2">
            <v>1001</v>
          </cell>
          <cell r="B2">
            <v>7</v>
          </cell>
          <cell r="C2">
            <v>8</v>
          </cell>
          <cell r="D2">
            <v>10</v>
          </cell>
          <cell r="E2">
            <v>10</v>
          </cell>
          <cell r="F2" t="str">
            <v>DISL</v>
          </cell>
          <cell r="G2" t="str">
            <v>ABUSO DE CONFIANZA CON EL MONITOR, BRIGADIER O ALUMNOS DE GRADOS SUPERIORES</v>
          </cell>
        </row>
        <row r="3">
          <cell r="A3">
            <v>1002</v>
          </cell>
          <cell r="B3">
            <v>7</v>
          </cell>
          <cell r="C3">
            <v>8</v>
          </cell>
          <cell r="D3">
            <v>10</v>
          </cell>
          <cell r="E3">
            <v>10</v>
          </cell>
          <cell r="F3" t="str">
            <v>DISL</v>
          </cell>
          <cell r="G3" t="str">
            <v xml:space="preserve">ABUSO DE CONFIANZA CON EL PERSONAL MILITAR, DOCENTE Y ADMINISTRATIVO </v>
          </cell>
        </row>
        <row r="4">
          <cell r="A4">
            <v>1003</v>
          </cell>
          <cell r="B4">
            <v>7</v>
          </cell>
          <cell r="C4">
            <v>8</v>
          </cell>
          <cell r="D4">
            <v>10</v>
          </cell>
          <cell r="E4">
            <v>10</v>
          </cell>
          <cell r="F4" t="str">
            <v>DISL</v>
          </cell>
          <cell r="G4" t="str">
            <v>ACCIONAR AL HABLAR CON UN SUPERIOR</v>
          </cell>
        </row>
        <row r="5">
          <cell r="A5">
            <v>1004</v>
          </cell>
          <cell r="B5">
            <v>7</v>
          </cell>
          <cell r="C5">
            <v>8</v>
          </cell>
          <cell r="D5">
            <v>10</v>
          </cell>
          <cell r="E5">
            <v>10</v>
          </cell>
          <cell r="F5" t="str">
            <v>DISL</v>
          </cell>
          <cell r="G5" t="str">
            <v>ADOPTAR POSTURAS MILITARES INCORRECTAS Y/O CIVILES</v>
          </cell>
        </row>
        <row r="6">
          <cell r="A6">
            <v>1005</v>
          </cell>
          <cell r="B6">
            <v>7</v>
          </cell>
          <cell r="C6">
            <v>8</v>
          </cell>
          <cell r="D6">
            <v>10</v>
          </cell>
          <cell r="E6">
            <v>4</v>
          </cell>
          <cell r="F6" t="str">
            <v>DISL</v>
          </cell>
          <cell r="G6" t="str">
            <v>ANDAR MAL VESTIDO EN EL PLANTEL</v>
          </cell>
        </row>
        <row r="7">
          <cell r="A7">
            <v>1006</v>
          </cell>
          <cell r="B7">
            <v>7</v>
          </cell>
          <cell r="C7">
            <v>8</v>
          </cell>
          <cell r="D7">
            <v>10</v>
          </cell>
          <cell r="E7">
            <v>10</v>
          </cell>
          <cell r="F7" t="str">
            <v>DISL</v>
          </cell>
          <cell r="G7" t="str">
            <v>FALTA DE ENERGIA PARA EJERCER EL MANDO</v>
          </cell>
        </row>
        <row r="8">
          <cell r="A8">
            <v>1007</v>
          </cell>
          <cell r="B8">
            <v>7</v>
          </cell>
          <cell r="C8">
            <v>10</v>
          </cell>
          <cell r="D8">
            <v>11</v>
          </cell>
          <cell r="E8">
            <v>10</v>
          </cell>
          <cell r="F8" t="str">
            <v>DISL</v>
          </cell>
          <cell r="G8" t="str">
            <v>DESPLAZARSE MAL UNIFORMADO EN EL EXTERIOR</v>
          </cell>
        </row>
        <row r="9">
          <cell r="A9">
            <v>1008</v>
          </cell>
          <cell r="B9">
            <v>7</v>
          </cell>
          <cell r="C9">
            <v>8</v>
          </cell>
          <cell r="D9">
            <v>10</v>
          </cell>
          <cell r="E9">
            <v>10</v>
          </cell>
          <cell r="F9" t="str">
            <v>DISL</v>
          </cell>
          <cell r="G9" t="str">
            <v>ENCONTRARSE FUERA DEL AULA EN HORAS DE CLASE</v>
          </cell>
        </row>
        <row r="10">
          <cell r="A10">
            <v>1009</v>
          </cell>
          <cell r="B10">
            <v>7</v>
          </cell>
          <cell r="C10">
            <v>8</v>
          </cell>
          <cell r="D10">
            <v>10</v>
          </cell>
          <cell r="E10">
            <v>4</v>
          </cell>
          <cell r="F10" t="str">
            <v>DISL</v>
          </cell>
          <cell r="G10" t="str">
            <v>FALTA DE ENERGIA PARA REALIZAR LOS MOVIMIENTOS</v>
          </cell>
        </row>
        <row r="11">
          <cell r="A11">
            <v>1010</v>
          </cell>
          <cell r="B11">
            <v>15</v>
          </cell>
          <cell r="C11" t="str">
            <v>1PV</v>
          </cell>
          <cell r="D11" t="str">
            <v>1PV</v>
          </cell>
          <cell r="E11">
            <v>10</v>
          </cell>
          <cell r="F11" t="str">
            <v>DISL</v>
          </cell>
          <cell r="G11" t="str">
            <v xml:space="preserve">FALTAR A LA IEPM SIN JUSTIFICACION </v>
          </cell>
        </row>
        <row r="12">
          <cell r="A12">
            <v>1011</v>
          </cell>
          <cell r="B12">
            <v>7</v>
          </cell>
          <cell r="C12">
            <v>8</v>
          </cell>
          <cell r="D12">
            <v>10</v>
          </cell>
          <cell r="E12">
            <v>10</v>
          </cell>
          <cell r="F12" t="str">
            <v>DISL</v>
          </cell>
          <cell r="G12" t="str">
            <v>LEVANTARSE DE LA MESA DEL COMEDOR SIN AUTORIZACION</v>
          </cell>
        </row>
        <row r="13">
          <cell r="A13">
            <v>1012</v>
          </cell>
          <cell r="B13">
            <v>7</v>
          </cell>
          <cell r="C13">
            <v>8</v>
          </cell>
          <cell r="D13">
            <v>10</v>
          </cell>
          <cell r="E13">
            <v>10</v>
          </cell>
          <cell r="F13" t="str">
            <v>DISL</v>
          </cell>
          <cell r="G13" t="str">
            <v xml:space="preserve">CAUSAR O PROVOCAR DESORDEN </v>
          </cell>
        </row>
        <row r="14">
          <cell r="A14">
            <v>1013</v>
          </cell>
          <cell r="B14">
            <v>7</v>
          </cell>
          <cell r="C14">
            <v>8</v>
          </cell>
          <cell r="D14">
            <v>10</v>
          </cell>
          <cell r="E14">
            <v>10</v>
          </cell>
          <cell r="F14" t="str">
            <v>DISL</v>
          </cell>
          <cell r="G14" t="str">
            <v>ENCONTRARSE EN LA ENFERMERIA SIN AUTORIZACION</v>
          </cell>
        </row>
        <row r="15">
          <cell r="A15">
            <v>1014</v>
          </cell>
          <cell r="B15">
            <v>5</v>
          </cell>
          <cell r="C15">
            <v>5</v>
          </cell>
          <cell r="D15">
            <v>5</v>
          </cell>
          <cell r="E15">
            <v>10</v>
          </cell>
          <cell r="F15" t="str">
            <v>DISL</v>
          </cell>
          <cell r="G15" t="str">
            <v>LLEGAR AL PLANTEL CON RETRAZO DE 01’ A 30’)</v>
          </cell>
        </row>
        <row r="16">
          <cell r="A16">
            <v>1015</v>
          </cell>
          <cell r="B16">
            <v>10</v>
          </cell>
          <cell r="C16" t="str">
            <v>1PV</v>
          </cell>
          <cell r="D16" t="str">
            <v>1PV</v>
          </cell>
          <cell r="E16">
            <v>10</v>
          </cell>
          <cell r="F16" t="str">
            <v>DISL</v>
          </cell>
          <cell r="G16" t="str">
            <v>LLEGAR AL PLANTEL CON RETRAZO DE 30´ A 2 HRS</v>
          </cell>
        </row>
        <row r="17">
          <cell r="A17">
            <v>1016</v>
          </cell>
          <cell r="B17">
            <v>5</v>
          </cell>
          <cell r="C17">
            <v>7</v>
          </cell>
          <cell r="D17">
            <v>8</v>
          </cell>
          <cell r="E17">
            <v>10</v>
          </cell>
          <cell r="F17" t="str">
            <v>DISL</v>
          </cell>
          <cell r="G17" t="str">
            <v>RETRASADO AL SALON DE CLASES, TALLERES LABORATORIOS U OTROS AMBIENTES DONDE SE DESARROLLAN ACTIVIDADES DE APRENDIZAJE</v>
          </cell>
        </row>
        <row r="18">
          <cell r="A18">
            <v>1017</v>
          </cell>
          <cell r="B18">
            <v>5</v>
          </cell>
          <cell r="C18">
            <v>7</v>
          </cell>
          <cell r="D18">
            <v>8</v>
          </cell>
          <cell r="E18">
            <v>6</v>
          </cell>
          <cell r="F18" t="str">
            <v>DISL</v>
          </cell>
          <cell r="G18" t="str">
            <v>RETRAZADO A UNA DISTRIBUCION</v>
          </cell>
        </row>
        <row r="19">
          <cell r="A19">
            <v>1018</v>
          </cell>
          <cell r="B19">
            <v>5</v>
          </cell>
          <cell r="C19">
            <v>7</v>
          </cell>
          <cell r="D19">
            <v>8</v>
          </cell>
          <cell r="E19">
            <v>6</v>
          </cell>
          <cell r="F19" t="str">
            <v>DISL</v>
          </cell>
          <cell r="G19" t="str">
            <v>MOVERSE ESTANDO EN FORMACION</v>
          </cell>
        </row>
        <row r="20">
          <cell r="A20">
            <v>1019</v>
          </cell>
          <cell r="B20">
            <v>5</v>
          </cell>
          <cell r="C20">
            <v>7</v>
          </cell>
          <cell r="D20">
            <v>8</v>
          </cell>
          <cell r="E20">
            <v>6</v>
          </cell>
          <cell r="F20" t="str">
            <v>DISL</v>
          </cell>
          <cell r="G20" t="str">
            <v>NO ADOPTAR PASO LIGERO PARA FORMAR</v>
          </cell>
        </row>
        <row r="21">
          <cell r="A21">
            <v>1020</v>
          </cell>
          <cell r="B21">
            <v>5</v>
          </cell>
          <cell r="C21">
            <v>7</v>
          </cell>
          <cell r="D21">
            <v>8</v>
          </cell>
          <cell r="E21">
            <v>10</v>
          </cell>
          <cell r="F21" t="str">
            <v>DISL</v>
          </cell>
          <cell r="G21" t="str">
            <v xml:space="preserve">NO LEVANTARSE AL TOQUE DE DIANA </v>
          </cell>
        </row>
        <row r="22">
          <cell r="A22">
            <v>1021</v>
          </cell>
          <cell r="B22">
            <v>5</v>
          </cell>
          <cell r="C22">
            <v>7</v>
          </cell>
          <cell r="D22">
            <v>8</v>
          </cell>
          <cell r="E22">
            <v>6</v>
          </cell>
          <cell r="F22" t="str">
            <v>DISL</v>
          </cell>
          <cell r="G22" t="str">
            <v>NO LIMPIAR SU SECTOR DE RESPONSABILIDAD</v>
          </cell>
        </row>
        <row r="23">
          <cell r="A23">
            <v>1022</v>
          </cell>
          <cell r="B23">
            <v>8</v>
          </cell>
          <cell r="C23">
            <v>9</v>
          </cell>
          <cell r="D23">
            <v>10</v>
          </cell>
          <cell r="E23">
            <v>10</v>
          </cell>
          <cell r="F23" t="str">
            <v>DISL</v>
          </cell>
          <cell r="G23" t="str">
            <v>NO PORTAR CONSIGO SU CARNET DE IDENTIDAD</v>
          </cell>
        </row>
        <row r="24">
          <cell r="A24">
            <v>1023</v>
          </cell>
          <cell r="B24">
            <v>9</v>
          </cell>
          <cell r="C24">
            <v>10</v>
          </cell>
          <cell r="D24">
            <v>11</v>
          </cell>
          <cell r="E24">
            <v>10</v>
          </cell>
          <cell r="F24" t="str">
            <v>DISL</v>
          </cell>
          <cell r="G24" t="str">
            <v>NO MANDAR ATENCION ANTE PRESENCIA  DE UN SUPERIOR</v>
          </cell>
        </row>
        <row r="25">
          <cell r="A25">
            <v>1024</v>
          </cell>
          <cell r="B25">
            <v>8</v>
          </cell>
          <cell r="C25">
            <v>9</v>
          </cell>
          <cell r="D25">
            <v>10</v>
          </cell>
          <cell r="E25">
            <v>10</v>
          </cell>
          <cell r="F25" t="str">
            <v>DISL</v>
          </cell>
          <cell r="G25" t="str">
            <v>NO PONERSE DE PIE AL PASO DE UN SUPERIOR</v>
          </cell>
        </row>
        <row r="26">
          <cell r="A26">
            <v>1025</v>
          </cell>
          <cell r="B26">
            <v>7</v>
          </cell>
          <cell r="C26">
            <v>8</v>
          </cell>
          <cell r="D26">
            <v>9</v>
          </cell>
          <cell r="E26">
            <v>10</v>
          </cell>
          <cell r="F26" t="str">
            <v>DISL</v>
          </cell>
          <cell r="G26" t="str">
            <v>USAR PRENDAS NO REGLAMENTARIAS PARA DORMIR</v>
          </cell>
        </row>
        <row r="27">
          <cell r="A27">
            <v>1026</v>
          </cell>
          <cell r="B27">
            <v>7</v>
          </cell>
          <cell r="C27">
            <v>8</v>
          </cell>
          <cell r="D27">
            <v>9</v>
          </cell>
          <cell r="E27">
            <v>6</v>
          </cell>
          <cell r="F27" t="str">
            <v>DISL</v>
          </cell>
          <cell r="G27" t="str">
            <v xml:space="preserve">PISAR LOS JARDINES O JUGAR EN ELLOS </v>
          </cell>
        </row>
        <row r="28">
          <cell r="A28">
            <v>1027</v>
          </cell>
          <cell r="B28">
            <v>8</v>
          </cell>
          <cell r="C28">
            <v>9</v>
          </cell>
          <cell r="D28">
            <v>10</v>
          </cell>
          <cell r="E28">
            <v>15</v>
          </cell>
          <cell r="F28" t="str">
            <v>DISL</v>
          </cell>
          <cell r="G28" t="str">
            <v xml:space="preserve">QUEMAR PAPELES EN EL AULA O CUADRA </v>
          </cell>
        </row>
        <row r="29">
          <cell r="A29">
            <v>1028</v>
          </cell>
          <cell r="B29">
            <v>9</v>
          </cell>
          <cell r="C29">
            <v>10</v>
          </cell>
          <cell r="D29">
            <v>11</v>
          </cell>
          <cell r="E29">
            <v>10</v>
          </cell>
          <cell r="F29" t="str">
            <v>DISL</v>
          </cell>
          <cell r="G29" t="str">
            <v xml:space="preserve">REPLICAR UNA ORDEN DE PERSONAL MILITAR O DOCENTE </v>
          </cell>
        </row>
        <row r="30">
          <cell r="A30">
            <v>1029</v>
          </cell>
          <cell r="B30">
            <v>8</v>
          </cell>
          <cell r="C30">
            <v>9</v>
          </cell>
          <cell r="D30">
            <v>10</v>
          </cell>
          <cell r="E30">
            <v>15</v>
          </cell>
          <cell r="F30" t="str">
            <v>DISL</v>
          </cell>
          <cell r="G30" t="str">
            <v xml:space="preserve">SALVAR EL CONDUCTO REGULAR </v>
          </cell>
        </row>
        <row r="31">
          <cell r="A31">
            <v>1030</v>
          </cell>
          <cell r="B31">
            <v>7</v>
          </cell>
          <cell r="C31">
            <v>8</v>
          </cell>
          <cell r="D31">
            <v>9</v>
          </cell>
          <cell r="E31">
            <v>6</v>
          </cell>
          <cell r="F31" t="str">
            <v>DISL</v>
          </cell>
          <cell r="G31" t="str">
            <v>SALIR DEL AULA, FORMACION SIN AUTORIZACION</v>
          </cell>
        </row>
        <row r="32">
          <cell r="A32">
            <v>1031</v>
          </cell>
          <cell r="B32">
            <v>8</v>
          </cell>
          <cell r="C32">
            <v>9</v>
          </cell>
          <cell r="D32">
            <v>10</v>
          </cell>
          <cell r="E32">
            <v>6</v>
          </cell>
          <cell r="F32" t="str">
            <v>DISL</v>
          </cell>
          <cell r="G32" t="str">
            <v>SALIR MAL UNIFORMADO A LAS LISTAS</v>
          </cell>
        </row>
        <row r="33">
          <cell r="A33">
            <v>1032</v>
          </cell>
          <cell r="B33">
            <v>7</v>
          </cell>
          <cell r="C33">
            <v>8</v>
          </cell>
          <cell r="D33">
            <v>9</v>
          </cell>
          <cell r="E33">
            <v>10</v>
          </cell>
          <cell r="F33" t="str">
            <v>DISL</v>
          </cell>
          <cell r="G33" t="str">
            <v>SENTARSE ESTANDO EN FORMACION</v>
          </cell>
        </row>
        <row r="34">
          <cell r="A34">
            <v>1033</v>
          </cell>
          <cell r="B34">
            <v>7</v>
          </cell>
          <cell r="C34">
            <v>8</v>
          </cell>
          <cell r="D34">
            <v>9</v>
          </cell>
          <cell r="E34">
            <v>10</v>
          </cell>
          <cell r="F34" t="str">
            <v>DISL</v>
          </cell>
          <cell r="G34" t="str">
            <v xml:space="preserve">TOMARSE ATRIBUCUIONES QUE NO LE CORRREPONDEN </v>
          </cell>
        </row>
        <row r="35">
          <cell r="A35">
            <v>1034</v>
          </cell>
          <cell r="B35">
            <v>8</v>
          </cell>
          <cell r="C35">
            <v>9</v>
          </cell>
          <cell r="D35">
            <v>10</v>
          </cell>
          <cell r="E35">
            <v>15</v>
          </cell>
          <cell r="F35" t="str">
            <v>DISL</v>
          </cell>
          <cell r="G35" t="str">
            <v xml:space="preserve">TRAER AL PLANTEL PRENDAS NO REGLAMENTARIAS </v>
          </cell>
        </row>
        <row r="36">
          <cell r="A36">
            <v>1035</v>
          </cell>
          <cell r="B36">
            <v>9</v>
          </cell>
          <cell r="C36">
            <v>10</v>
          </cell>
          <cell r="D36">
            <v>11</v>
          </cell>
          <cell r="E36">
            <v>10</v>
          </cell>
          <cell r="F36" t="str">
            <v>DISL</v>
          </cell>
          <cell r="G36" t="str">
            <v>TRANSITAR POR LUGARES NO AUTORIZADOS</v>
          </cell>
        </row>
        <row r="37">
          <cell r="A37">
            <v>1036</v>
          </cell>
          <cell r="B37">
            <v>15</v>
          </cell>
          <cell r="C37">
            <v>20</v>
          </cell>
          <cell r="D37">
            <v>25</v>
          </cell>
          <cell r="E37">
            <v>10</v>
          </cell>
          <cell r="F37" t="str">
            <v>DISL</v>
          </cell>
          <cell r="G37" t="str">
            <v xml:space="preserve">QUEDARSE FALTO AL TERMINO DE SU SALIDA DE PASEO </v>
          </cell>
        </row>
        <row r="38">
          <cell r="A38">
            <v>1037</v>
          </cell>
          <cell r="B38" t="str">
            <v>1PV</v>
          </cell>
          <cell r="C38" t="str">
            <v>1PV</v>
          </cell>
          <cell r="D38" t="str">
            <v>1PV</v>
          </cell>
          <cell r="E38">
            <v>10</v>
          </cell>
          <cell r="F38" t="str">
            <v>DISL</v>
          </cell>
          <cell r="G38" t="str">
            <v xml:space="preserve">MICCIONAR EN LUGARES NO AUTORIZADOS </v>
          </cell>
        </row>
        <row r="39">
          <cell r="A39">
            <v>1038</v>
          </cell>
          <cell r="B39">
            <v>10</v>
          </cell>
          <cell r="C39">
            <v>20</v>
          </cell>
          <cell r="D39">
            <v>20</v>
          </cell>
          <cell r="E39">
            <v>20</v>
          </cell>
          <cell r="F39" t="str">
            <v>DISG</v>
          </cell>
          <cell r="G39" t="str">
            <v xml:space="preserve">AMENAZAR O AGREDIR ( EN DIFERENTES FORMAS) A UN COMPAÑERO </v>
          </cell>
        </row>
        <row r="40">
          <cell r="A40">
            <v>1039</v>
          </cell>
          <cell r="B40">
            <v>20</v>
          </cell>
          <cell r="C40">
            <v>20</v>
          </cell>
          <cell r="D40">
            <v>20</v>
          </cell>
          <cell r="E40">
            <v>20</v>
          </cell>
          <cell r="F40" t="str">
            <v>DISG</v>
          </cell>
          <cell r="G40" t="str">
            <v xml:space="preserve">ASISIR A LUGARES DE DUDOSA REPUTACION ESTANDO UNIFORMADO </v>
          </cell>
        </row>
        <row r="41">
          <cell r="A41">
            <v>1040</v>
          </cell>
          <cell r="B41">
            <v>15</v>
          </cell>
          <cell r="C41">
            <v>15</v>
          </cell>
          <cell r="D41">
            <v>15</v>
          </cell>
          <cell r="E41">
            <v>15</v>
          </cell>
          <cell r="F41" t="str">
            <v>DISG</v>
          </cell>
          <cell r="G41" t="str">
            <v>ABANDONAR EL AULA EN HORAS DE CLASE</v>
          </cell>
        </row>
        <row r="42">
          <cell r="A42">
            <v>1041</v>
          </cell>
          <cell r="B42">
            <v>15</v>
          </cell>
          <cell r="C42">
            <v>15</v>
          </cell>
          <cell r="D42">
            <v>15</v>
          </cell>
          <cell r="E42">
            <v>15</v>
          </cell>
          <cell r="F42" t="str">
            <v>DISG</v>
          </cell>
          <cell r="G42" t="str">
            <v xml:space="preserve">ABANDONAR LA ENFERMERIA SIN AUTORIZACION </v>
          </cell>
        </row>
        <row r="43">
          <cell r="A43">
            <v>1042</v>
          </cell>
          <cell r="B43">
            <v>15</v>
          </cell>
          <cell r="C43">
            <v>15</v>
          </cell>
          <cell r="D43">
            <v>15</v>
          </cell>
          <cell r="E43">
            <v>15</v>
          </cell>
          <cell r="F43" t="str">
            <v>DISG</v>
          </cell>
          <cell r="G43" t="str">
            <v>ABUSO DE CONFIANZA CON ESTUDIANTES CADETES DE AÑO INFERIOR</v>
          </cell>
        </row>
        <row r="44">
          <cell r="A44">
            <v>1043</v>
          </cell>
          <cell r="B44">
            <v>15</v>
          </cell>
          <cell r="C44">
            <v>15</v>
          </cell>
          <cell r="D44">
            <v>15</v>
          </cell>
          <cell r="E44">
            <v>15</v>
          </cell>
          <cell r="F44" t="str">
            <v>DISG</v>
          </cell>
          <cell r="G44" t="str">
            <v>ARROJAR COMIDA A UN COMPAÑERO EN EL COMEDOR</v>
          </cell>
        </row>
        <row r="45">
          <cell r="A45">
            <v>1044</v>
          </cell>
          <cell r="B45">
            <v>15</v>
          </cell>
          <cell r="C45">
            <v>15</v>
          </cell>
          <cell r="D45">
            <v>15</v>
          </cell>
          <cell r="E45">
            <v>15</v>
          </cell>
          <cell r="F45" t="str">
            <v>DISG</v>
          </cell>
          <cell r="G45" t="str">
            <v>CANTAR O SILVAR ESTANDO EN UNA FORMACION</v>
          </cell>
        </row>
        <row r="46">
          <cell r="A46">
            <v>1045</v>
          </cell>
          <cell r="B46">
            <v>10</v>
          </cell>
          <cell r="C46">
            <v>15</v>
          </cell>
          <cell r="D46">
            <v>15</v>
          </cell>
          <cell r="E46">
            <v>15</v>
          </cell>
          <cell r="F46" t="str">
            <v>DISG</v>
          </cell>
          <cell r="G46" t="str">
            <v>DORMIR EN EL AULA EN HORAS DE CLASE</v>
          </cell>
        </row>
        <row r="47">
          <cell r="A47">
            <v>1046</v>
          </cell>
          <cell r="B47" t="str">
            <v>1PV</v>
          </cell>
          <cell r="C47" t="str">
            <v>1PV</v>
          </cell>
          <cell r="D47" t="str">
            <v>1PV</v>
          </cell>
          <cell r="E47" t="str">
            <v>1PV</v>
          </cell>
          <cell r="F47" t="str">
            <v>DISG</v>
          </cell>
          <cell r="G47" t="str">
            <v>DORMIR ESTANDO DE SERVICIO DE CUARTELERO, IMAGINARIA O GUARDIA</v>
          </cell>
        </row>
        <row r="48">
          <cell r="A48">
            <v>1047</v>
          </cell>
          <cell r="B48">
            <v>20</v>
          </cell>
          <cell r="C48">
            <v>20</v>
          </cell>
          <cell r="D48">
            <v>20</v>
          </cell>
          <cell r="E48">
            <v>20</v>
          </cell>
          <cell r="F48" t="str">
            <v>DISG</v>
          </cell>
          <cell r="G48" t="str">
            <v>ELUDIR EL SALUDO AL SUPERIOR</v>
          </cell>
        </row>
        <row r="49">
          <cell r="A49">
            <v>1048</v>
          </cell>
          <cell r="B49" t="str">
            <v>1PV</v>
          </cell>
          <cell r="C49" t="str">
            <v>2PV</v>
          </cell>
          <cell r="D49" t="str">
            <v>2PV</v>
          </cell>
          <cell r="E49" t="str">
            <v>2PV</v>
          </cell>
          <cell r="F49" t="str">
            <v>DISG</v>
          </cell>
          <cell r="G49" t="str">
            <v>FALTAR EL RESPETO A UN SUPERIOR  SEA PERSONAL MILITAR, DOCENTE</v>
          </cell>
        </row>
        <row r="50">
          <cell r="A50">
            <v>1049</v>
          </cell>
          <cell r="B50">
            <v>15</v>
          </cell>
          <cell r="C50">
            <v>15</v>
          </cell>
          <cell r="D50">
            <v>15</v>
          </cell>
          <cell r="E50">
            <v>15</v>
          </cell>
          <cell r="F50" t="str">
            <v>DISG</v>
          </cell>
          <cell r="G50" t="str">
            <v xml:space="preserve">HACER RESISTENCIA PASIVA A UNA ORDEN </v>
          </cell>
        </row>
        <row r="51">
          <cell r="A51">
            <v>1050</v>
          </cell>
          <cell r="B51">
            <v>6</v>
          </cell>
          <cell r="C51">
            <v>7</v>
          </cell>
          <cell r="D51">
            <v>8</v>
          </cell>
          <cell r="E51">
            <v>9</v>
          </cell>
          <cell r="F51" t="str">
            <v>DISG</v>
          </cell>
          <cell r="G51" t="str">
            <v>ENTRAR AL CASINO, COMEDOR, CUADRAS, CAFETERIAS EN HORAS NO AUTORIZADAS</v>
          </cell>
        </row>
        <row r="52">
          <cell r="A52">
            <v>1051</v>
          </cell>
          <cell r="B52">
            <v>15</v>
          </cell>
          <cell r="C52">
            <v>15</v>
          </cell>
          <cell r="D52">
            <v>15</v>
          </cell>
          <cell r="E52">
            <v>10</v>
          </cell>
          <cell r="F52" t="str">
            <v>DISG</v>
          </cell>
          <cell r="G52" t="str">
            <v>IMPEDIR SALIDA NORMAL DE UN CADETE</v>
          </cell>
        </row>
        <row r="53">
          <cell r="A53">
            <v>1052</v>
          </cell>
          <cell r="B53">
            <v>15</v>
          </cell>
          <cell r="C53">
            <v>15</v>
          </cell>
          <cell r="D53">
            <v>15</v>
          </cell>
          <cell r="E53">
            <v>10</v>
          </cell>
          <cell r="F53" t="str">
            <v>DISG</v>
          </cell>
          <cell r="G53" t="str">
            <v>INGRESAR A CUADRAS O AULAS DE OTROS AÑOS</v>
          </cell>
        </row>
        <row r="54">
          <cell r="A54">
            <v>1053</v>
          </cell>
          <cell r="B54">
            <v>15</v>
          </cell>
          <cell r="C54">
            <v>15</v>
          </cell>
          <cell r="D54">
            <v>15</v>
          </cell>
          <cell r="E54">
            <v>10</v>
          </cell>
          <cell r="F54" t="str">
            <v>DISG</v>
          </cell>
          <cell r="G54" t="str">
            <v xml:space="preserve">NO CHEQUEARSE AL SALIR DE PASEO O PERMISO </v>
          </cell>
        </row>
        <row r="55">
          <cell r="A55">
            <v>1054</v>
          </cell>
          <cell r="B55">
            <v>15</v>
          </cell>
          <cell r="C55">
            <v>15</v>
          </cell>
          <cell r="D55">
            <v>15</v>
          </cell>
          <cell r="E55">
            <v>10</v>
          </cell>
          <cell r="F55" t="str">
            <v>DISG</v>
          </cell>
          <cell r="G55" t="str">
            <v xml:space="preserve">NO CHEQUEARSE DESPUES DE SU SALIDA  DE PASEO </v>
          </cell>
        </row>
        <row r="56">
          <cell r="A56">
            <v>1055</v>
          </cell>
          <cell r="B56">
            <v>15</v>
          </cell>
          <cell r="C56" t="str">
            <v>1PV</v>
          </cell>
          <cell r="D56" t="str">
            <v>1PV</v>
          </cell>
          <cell r="E56">
            <v>10</v>
          </cell>
          <cell r="F56" t="str">
            <v>DISG</v>
          </cell>
          <cell r="G56" t="str">
            <v>NO CUMPLIR LA ORDEN DE UN SUPERIOR</v>
          </cell>
        </row>
        <row r="57">
          <cell r="A57">
            <v>1056</v>
          </cell>
          <cell r="B57">
            <v>15</v>
          </cell>
          <cell r="C57">
            <v>15</v>
          </cell>
          <cell r="D57">
            <v>15</v>
          </cell>
          <cell r="E57">
            <v>10</v>
          </cell>
          <cell r="F57" t="str">
            <v>DISG</v>
          </cell>
          <cell r="G57" t="str">
            <v>NO PRESENTARSE AL PLANTEL ESTANDO DE SERVICIO</v>
          </cell>
        </row>
        <row r="58">
          <cell r="A58">
            <v>1057</v>
          </cell>
          <cell r="B58">
            <v>10</v>
          </cell>
          <cell r="C58">
            <v>20</v>
          </cell>
          <cell r="D58">
            <v>20</v>
          </cell>
          <cell r="E58">
            <v>10</v>
          </cell>
          <cell r="F58" t="str">
            <v>DISG</v>
          </cell>
          <cell r="G58" t="str">
            <v xml:space="preserve">MALOGRAR INTENCIONALMENTE MATERIAL DEL COLEGIO </v>
          </cell>
        </row>
        <row r="59">
          <cell r="A59">
            <v>1058</v>
          </cell>
          <cell r="B59">
            <v>15</v>
          </cell>
          <cell r="C59">
            <v>15</v>
          </cell>
          <cell r="D59">
            <v>15</v>
          </cell>
          <cell r="E59">
            <v>10</v>
          </cell>
          <cell r="F59" t="str">
            <v>DISG</v>
          </cell>
          <cell r="G59" t="str">
            <v>SALIR A LA INSTRUCCION CON ARMAMENTO DE OTRO CADETE</v>
          </cell>
        </row>
        <row r="60">
          <cell r="A60">
            <v>1059</v>
          </cell>
          <cell r="B60" t="str">
            <v>1PV</v>
          </cell>
          <cell r="C60" t="str">
            <v>1PV</v>
          </cell>
          <cell r="D60" t="str">
            <v>1PV</v>
          </cell>
          <cell r="E60">
            <v>10</v>
          </cell>
          <cell r="F60" t="str">
            <v>DISG</v>
          </cell>
          <cell r="G60" t="str">
            <v>INTERCAMBIAR MUESTRAS AFECTIVAS DENTRO  DEL PLANTEL</v>
          </cell>
        </row>
        <row r="61">
          <cell r="A61">
            <v>1060</v>
          </cell>
          <cell r="B61" t="str">
            <v>2PV</v>
          </cell>
          <cell r="C61" t="str">
            <v>2PV</v>
          </cell>
          <cell r="D61" t="str">
            <v>2PV</v>
          </cell>
          <cell r="E61">
            <v>10</v>
          </cell>
          <cell r="F61" t="str">
            <v>DISG</v>
          </cell>
          <cell r="G61" t="str">
            <v>INTERCAMBIAR MUESTRAS AFECTIVAS (BESOS, CARICIAS Y ABRAZOS) EN EL EXTERIOR ESTANDO UNIFORMADO</v>
          </cell>
        </row>
        <row r="62">
          <cell r="A62">
            <v>1061</v>
          </cell>
          <cell r="B62">
            <v>10</v>
          </cell>
          <cell r="C62" t="str">
            <v>1PV</v>
          </cell>
          <cell r="D62" t="str">
            <v>1PV</v>
          </cell>
          <cell r="E62">
            <v>10</v>
          </cell>
          <cell r="F62" t="str">
            <v>DISG</v>
          </cell>
          <cell r="G62" t="str">
            <v>IMPONER CASTIGOS FISICOS A SUBORDINADOS DESPUES DE ESTOS HABER INGERIDO ALIMENTOS</v>
          </cell>
        </row>
        <row r="63">
          <cell r="A63">
            <v>1062</v>
          </cell>
          <cell r="B63">
            <v>8</v>
          </cell>
          <cell r="C63">
            <v>10</v>
          </cell>
          <cell r="D63" t="str">
            <v>1PV</v>
          </cell>
          <cell r="E63">
            <v>10</v>
          </cell>
          <cell r="F63" t="str">
            <v>DISG</v>
          </cell>
          <cell r="G63" t="str">
            <v>PERMANECER EN EL EXTERIOR REALIZANDO ACTIVIDADES IMPROPIAS ESTANDO UNIFORMADO</v>
          </cell>
        </row>
        <row r="64">
          <cell r="A64">
            <v>1063</v>
          </cell>
          <cell r="B64">
            <v>10</v>
          </cell>
          <cell r="C64" t="str">
            <v>1PV</v>
          </cell>
          <cell r="D64" t="str">
            <v>1PV</v>
          </cell>
          <cell r="E64">
            <v>10</v>
          </cell>
          <cell r="F64" t="str">
            <v>DISG</v>
          </cell>
          <cell r="G64" t="str">
            <v>ENCONTRARSE EN LA CUADRA EN HORAS DE INSTRUCCION Y/O ESTUDIO OBLIGATORIO</v>
          </cell>
        </row>
        <row r="65">
          <cell r="A65">
            <v>1064</v>
          </cell>
          <cell r="B65" t="str">
            <v>PARTE</v>
          </cell>
          <cell r="C65" t="str">
            <v>PARTE</v>
          </cell>
          <cell r="D65" t="str">
            <v>4PV</v>
          </cell>
          <cell r="E65" t="str">
            <v>PARTE</v>
          </cell>
          <cell r="F65" t="str">
            <v>DISMG</v>
          </cell>
          <cell r="G65" t="str">
            <v>ABUSO DE AUTORIDAD</v>
          </cell>
        </row>
        <row r="66">
          <cell r="A66">
            <v>1065</v>
          </cell>
          <cell r="B66" t="str">
            <v>PARTE</v>
          </cell>
          <cell r="C66" t="str">
            <v>PARTE</v>
          </cell>
          <cell r="D66" t="str">
            <v>PARTE</v>
          </cell>
          <cell r="E66" t="str">
            <v>PARTE</v>
          </cell>
          <cell r="F66" t="str">
            <v>DISMG</v>
          </cell>
          <cell r="G66" t="str">
            <v xml:space="preserve">AUSENCIA INJUSTIFICADA A UN EXAMEN </v>
          </cell>
        </row>
        <row r="67">
          <cell r="A67">
            <v>1066</v>
          </cell>
          <cell r="B67" t="str">
            <v>PARTE</v>
          </cell>
          <cell r="C67" t="str">
            <v>PARTE</v>
          </cell>
          <cell r="D67" t="str">
            <v>PARTE</v>
          </cell>
          <cell r="E67" t="str">
            <v>PARTE</v>
          </cell>
          <cell r="F67" t="str">
            <v>DISMG</v>
          </cell>
          <cell r="G67" t="str">
            <v xml:space="preserve">CAUSAR DAÑO Y/O LESIONES A UN COMPAÑERO DE MANERA INTENCIONAL </v>
          </cell>
        </row>
        <row r="68">
          <cell r="A68">
            <v>1067</v>
          </cell>
          <cell r="B68" t="str">
            <v>PARTE</v>
          </cell>
          <cell r="C68" t="str">
            <v>PARTE</v>
          </cell>
          <cell r="D68" t="str">
            <v>PARTE</v>
          </cell>
          <cell r="E68" t="str">
            <v>PARTE</v>
          </cell>
          <cell r="F68" t="str">
            <v>DISMG</v>
          </cell>
          <cell r="G68" t="str">
            <v>EVADIRSE DEL PLANTEL</v>
          </cell>
        </row>
        <row r="69">
          <cell r="A69">
            <v>1068</v>
          </cell>
          <cell r="B69" t="str">
            <v>PARTE</v>
          </cell>
          <cell r="C69" t="str">
            <v>PARTE</v>
          </cell>
          <cell r="D69" t="str">
            <v>PARTE</v>
          </cell>
          <cell r="E69" t="str">
            <v>PARTE</v>
          </cell>
          <cell r="F69" t="str">
            <v>DISMG</v>
          </cell>
          <cell r="G69" t="str">
            <v xml:space="preserve">EXIGIR DADIVAS EN  DINERO U OTRAS MODALIDADES A CADETES SUBORDINADOS </v>
          </cell>
        </row>
        <row r="70">
          <cell r="A70">
            <v>1069</v>
          </cell>
          <cell r="B70" t="str">
            <v>PARTE</v>
          </cell>
          <cell r="C70" t="str">
            <v>PARTE</v>
          </cell>
          <cell r="D70" t="str">
            <v>PARTE</v>
          </cell>
          <cell r="E70" t="str">
            <v>PARTE</v>
          </cell>
          <cell r="F70" t="str">
            <v>DISMG</v>
          </cell>
          <cell r="G70" t="str">
            <v>FALTAR AL PLANTEL INJUSTIFICADAMENTE</v>
          </cell>
        </row>
        <row r="71">
          <cell r="A71">
            <v>1070</v>
          </cell>
          <cell r="B71" t="str">
            <v>PARTE</v>
          </cell>
          <cell r="C71" t="str">
            <v>BAJA</v>
          </cell>
          <cell r="D71" t="str">
            <v>BAJA</v>
          </cell>
          <cell r="E71" t="str">
            <v>BAJA</v>
          </cell>
          <cell r="F71" t="str">
            <v>DISMG</v>
          </cell>
          <cell r="G71" t="str">
            <v>HACER DIBUJOS PARA FALTAR RESPETO A UN SUPERIOR YA SEA PERSONAL MILITAR O DOCENTE</v>
          </cell>
        </row>
        <row r="72">
          <cell r="A72">
            <v>1071</v>
          </cell>
          <cell r="B72" t="str">
            <v>PARTE</v>
          </cell>
          <cell r="C72" t="str">
            <v>BAJA</v>
          </cell>
          <cell r="D72" t="str">
            <v>BAJA</v>
          </cell>
          <cell r="E72" t="str">
            <v>BAJA</v>
          </cell>
          <cell r="F72" t="str">
            <v>DISMG</v>
          </cell>
          <cell r="G72" t="str">
            <v>INCITAR LA INSUBORDINACION</v>
          </cell>
        </row>
        <row r="73">
          <cell r="A73">
            <v>1072</v>
          </cell>
          <cell r="B73" t="str">
            <v>PARTE</v>
          </cell>
          <cell r="C73" t="str">
            <v>BAJA</v>
          </cell>
          <cell r="D73" t="str">
            <v>BAJA</v>
          </cell>
          <cell r="E73" t="str">
            <v>BAJA</v>
          </cell>
          <cell r="F73" t="str">
            <v>DISMG</v>
          </cell>
          <cell r="G73" t="str">
            <v>LIBAR LICOR EN EL PLANTEL</v>
          </cell>
        </row>
        <row r="74">
          <cell r="A74">
            <v>1073</v>
          </cell>
          <cell r="B74" t="str">
            <v>2PV</v>
          </cell>
          <cell r="C74" t="str">
            <v>PARTE</v>
          </cell>
          <cell r="D74" t="str">
            <v>PARTE</v>
          </cell>
          <cell r="E74" t="str">
            <v>PARTE</v>
          </cell>
          <cell r="F74" t="str">
            <v>DISMG</v>
          </cell>
          <cell r="G74" t="str">
            <v>LLEGAR AL PLANTEL CON RETRAZO DE MAS DE 02 HRS</v>
          </cell>
        </row>
        <row r="75">
          <cell r="A75">
            <v>1074</v>
          </cell>
          <cell r="B75" t="str">
            <v>PARTE</v>
          </cell>
          <cell r="C75" t="str">
            <v>PARTE</v>
          </cell>
          <cell r="D75" t="str">
            <v>PARTE</v>
          </cell>
          <cell r="E75" t="str">
            <v>PARTE</v>
          </cell>
          <cell r="F75" t="str">
            <v>DISMG</v>
          </cell>
          <cell r="G75" t="str">
            <v>MALTRATAR DE OBRA A UN CADETE EN CUALQUIER CIRCUNSTANCIA</v>
          </cell>
        </row>
        <row r="76">
          <cell r="A76">
            <v>1075</v>
          </cell>
          <cell r="B76" t="str">
            <v>1PV</v>
          </cell>
          <cell r="C76" t="str">
            <v>2PV</v>
          </cell>
          <cell r="D76" t="str">
            <v>2PV</v>
          </cell>
          <cell r="E76" t="str">
            <v>2PV</v>
          </cell>
          <cell r="F76" t="str">
            <v>DISMG</v>
          </cell>
          <cell r="G76" t="str">
            <v xml:space="preserve">NO REALIZAR SU SERVICIO DE GUARDIA O CUARTELERO </v>
          </cell>
        </row>
        <row r="77">
          <cell r="A77">
            <v>1076</v>
          </cell>
          <cell r="B77" t="str">
            <v>2PV</v>
          </cell>
          <cell r="C77" t="str">
            <v>PARTE</v>
          </cell>
          <cell r="D77" t="str">
            <v>PARTE</v>
          </cell>
          <cell r="E77" t="str">
            <v>PARTE</v>
          </cell>
          <cell r="F77" t="str">
            <v>DISMG</v>
          </cell>
          <cell r="G77" t="str">
            <v>NO PRESENTARSE A SU SERVICIO PESE A TENER CONOCIMIENTO</v>
          </cell>
        </row>
        <row r="78">
          <cell r="A78">
            <v>1077</v>
          </cell>
          <cell r="B78" t="str">
            <v>PARTE</v>
          </cell>
          <cell r="C78" t="str">
            <v>JUNTA ACAD</v>
          </cell>
          <cell r="D78" t="str">
            <v>JUNTA ACAD</v>
          </cell>
          <cell r="E78" t="str">
            <v xml:space="preserve">JUNTA ACAD </v>
          </cell>
          <cell r="F78" t="str">
            <v>DISMG</v>
          </cell>
          <cell r="G78" t="str">
            <v>PRACTICAR JUEGOS DE AZAR</v>
          </cell>
        </row>
        <row r="79">
          <cell r="A79">
            <v>1078</v>
          </cell>
          <cell r="B79" t="str">
            <v>PARTE</v>
          </cell>
          <cell r="C79" t="str">
            <v>JUNTA ACAD</v>
          </cell>
          <cell r="D79" t="str">
            <v>JUNTA ACAD</v>
          </cell>
          <cell r="E79" t="str">
            <v>JUNTA ACAD</v>
          </cell>
          <cell r="F79" t="str">
            <v>DISMG</v>
          </cell>
          <cell r="G79" t="str">
            <v>RETORNAR DE SU SALIDA CON INDICIOS DE EMBRIAGUEZ</v>
          </cell>
        </row>
        <row r="80">
          <cell r="A80">
            <v>1079</v>
          </cell>
          <cell r="B80" t="str">
            <v>PARTE</v>
          </cell>
          <cell r="C80" t="str">
            <v>JUNTA ACAD</v>
          </cell>
          <cell r="D80" t="str">
            <v>JUNTA ACAD</v>
          </cell>
          <cell r="E80" t="str">
            <v>JUNTA ACAD</v>
          </cell>
          <cell r="F80" t="str">
            <v>DISMG</v>
          </cell>
          <cell r="G80" t="str">
            <v>TRAER EXCUSAS O CERTIFICADOS FALSOS POR INASISTENCIAS</v>
          </cell>
        </row>
        <row r="81">
          <cell r="A81">
            <v>1080</v>
          </cell>
          <cell r="B81" t="str">
            <v>PARTE</v>
          </cell>
          <cell r="C81" t="str">
            <v>JUNTA ACAD</v>
          </cell>
          <cell r="D81" t="str">
            <v>JUNTA ACAD</v>
          </cell>
          <cell r="E81" t="str">
            <v xml:space="preserve">JUNTA ACAD </v>
          </cell>
          <cell r="F81" t="str">
            <v>DISMG</v>
          </cell>
          <cell r="G81" t="str">
            <v>FUMAR DENTRO DEL COLEGIO</v>
          </cell>
        </row>
        <row r="82">
          <cell r="A82">
            <v>1081</v>
          </cell>
          <cell r="B82" t="str">
            <v>1PV</v>
          </cell>
          <cell r="C82" t="str">
            <v>2PV</v>
          </cell>
          <cell r="D82" t="str">
            <v>2PV</v>
          </cell>
          <cell r="E82" t="str">
            <v>2PV</v>
          </cell>
          <cell r="F82" t="str">
            <v>DISMG</v>
          </cell>
          <cell r="G82" t="str">
            <v>TENER DENTRO DEL COLEGIO TELEFONO CELULAR SIN LA AUTORIZACION RESPECTIVA</v>
          </cell>
        </row>
        <row r="83">
          <cell r="A83">
            <v>1082</v>
          </cell>
          <cell r="B83" t="str">
            <v>1PV</v>
          </cell>
          <cell r="C83" t="str">
            <v>2PV</v>
          </cell>
          <cell r="D83" t="str">
            <v>2PV</v>
          </cell>
          <cell r="E83" t="str">
            <v>1PV</v>
          </cell>
          <cell r="F83" t="str">
            <v>DISMG</v>
          </cell>
          <cell r="G83" t="str">
            <v>TENER EQUIPOS ELECTRONICOS DENTRO DEL COLEGIO ( RADIO, MP3, MP4,ETC), SIN LA AUTORZACION RESPECTIVA</v>
          </cell>
        </row>
        <row r="84">
          <cell r="A84">
            <v>1083</v>
          </cell>
          <cell r="B84">
            <v>4</v>
          </cell>
          <cell r="C84">
            <v>4</v>
          </cell>
          <cell r="D84">
            <v>4</v>
          </cell>
          <cell r="E84">
            <v>4</v>
          </cell>
          <cell r="F84" t="str">
            <v>DIGL</v>
          </cell>
          <cell r="G84" t="str">
            <v xml:space="preserve">APOYARSE EN LAS PAREDES </v>
          </cell>
        </row>
        <row r="85">
          <cell r="A85">
            <v>1084</v>
          </cell>
          <cell r="B85">
            <v>15</v>
          </cell>
          <cell r="C85">
            <v>15</v>
          </cell>
          <cell r="D85">
            <v>15</v>
          </cell>
          <cell r="E85">
            <v>15</v>
          </cell>
          <cell r="F85" t="str">
            <v>DIGL</v>
          </cell>
          <cell r="G85" t="str">
            <v>DORMIR EN LUGARES NO AUTORIZADOS</v>
          </cell>
        </row>
        <row r="86">
          <cell r="A86">
            <v>1085</v>
          </cell>
          <cell r="B86">
            <v>15</v>
          </cell>
          <cell r="C86">
            <v>15</v>
          </cell>
          <cell r="D86">
            <v>15</v>
          </cell>
          <cell r="E86">
            <v>15</v>
          </cell>
          <cell r="F86" t="str">
            <v>DIGL</v>
          </cell>
          <cell r="G86" t="str">
            <v>RECLAMAR UN CASTIGO SIN FUNDAMENTO ALGUNO</v>
          </cell>
        </row>
        <row r="87">
          <cell r="A87">
            <v>1086</v>
          </cell>
          <cell r="B87">
            <v>6</v>
          </cell>
          <cell r="C87">
            <v>6</v>
          </cell>
          <cell r="D87">
            <v>6</v>
          </cell>
          <cell r="E87">
            <v>6</v>
          </cell>
          <cell r="F87" t="str">
            <v>DIGL</v>
          </cell>
          <cell r="G87" t="str">
            <v>SENTARSE EN EL PISO DESLUCIENDO EL UNIFORME</v>
          </cell>
        </row>
        <row r="88">
          <cell r="A88">
            <v>1087</v>
          </cell>
          <cell r="B88" t="str">
            <v>1PV</v>
          </cell>
          <cell r="C88" t="str">
            <v>2PV</v>
          </cell>
          <cell r="D88" t="str">
            <v>2PV</v>
          </cell>
          <cell r="E88">
            <v>20</v>
          </cell>
          <cell r="F88" t="str">
            <v>DIGG</v>
          </cell>
          <cell r="G88" t="str">
            <v xml:space="preserve">ASISTIR A EVENTOS SOCIALES HACIENDO USO DEL UNIFORME SIN AUTORIZACION </v>
          </cell>
        </row>
        <row r="89">
          <cell r="A89">
            <v>1088</v>
          </cell>
          <cell r="B89" t="str">
            <v>1PV</v>
          </cell>
          <cell r="C89" t="str">
            <v>1PV</v>
          </cell>
          <cell r="D89" t="str">
            <v>1PV</v>
          </cell>
          <cell r="E89">
            <v>15</v>
          </cell>
          <cell r="F89" t="str">
            <v>DIGG</v>
          </cell>
          <cell r="G89" t="str">
            <v>PROFERIR PALABRAS SOECES</v>
          </cell>
        </row>
        <row r="90">
          <cell r="A90">
            <v>1089</v>
          </cell>
          <cell r="B90">
            <v>20</v>
          </cell>
          <cell r="C90">
            <v>20</v>
          </cell>
          <cell r="D90">
            <v>20</v>
          </cell>
          <cell r="E90">
            <v>20</v>
          </cell>
          <cell r="F90" t="str">
            <v>DIGG</v>
          </cell>
          <cell r="G90" t="str">
            <v>LEER LIBROS,  DIARIOS, O REVISTAS AJENAS A LA CLASE</v>
          </cell>
        </row>
        <row r="91">
          <cell r="A91">
            <v>1090</v>
          </cell>
          <cell r="B91">
            <v>8</v>
          </cell>
          <cell r="C91">
            <v>10</v>
          </cell>
          <cell r="D91">
            <v>10</v>
          </cell>
          <cell r="E91">
            <v>10</v>
          </cell>
          <cell r="F91" t="str">
            <v>DIGG</v>
          </cell>
          <cell r="G91" t="str">
            <v xml:space="preserve">FALTA DE DIGNIDAD PARA ACEPTAR SU FALTA </v>
          </cell>
        </row>
        <row r="92">
          <cell r="A92">
            <v>1091</v>
          </cell>
          <cell r="B92" t="str">
            <v>1PV</v>
          </cell>
          <cell r="C92" t="str">
            <v>2PV</v>
          </cell>
          <cell r="D92" t="str">
            <v>2PV</v>
          </cell>
          <cell r="E92" t="str">
            <v>1PV</v>
          </cell>
          <cell r="F92" t="str">
            <v>DIGG</v>
          </cell>
          <cell r="G92" t="str">
            <v>HACER USO INAPROPIADO DE LAS REDES SOCIALES (FACEBOOK, HI5, TWITER, ETC)</v>
          </cell>
        </row>
        <row r="93">
          <cell r="A93">
            <v>1092</v>
          </cell>
          <cell r="B93" t="str">
            <v>2PV</v>
          </cell>
          <cell r="C93" t="str">
            <v>2PV</v>
          </cell>
          <cell r="D93" t="str">
            <v>2PV</v>
          </cell>
          <cell r="E93" t="str">
            <v>PARTE</v>
          </cell>
          <cell r="F93" t="str">
            <v>DIGG</v>
          </cell>
          <cell r="G93" t="str">
            <v>ENCONTRARSE ESCONDIDOS EN ACTIVIDADES SOSPECHOSAS CON ESTUDIANTES CADETES DE DIFERENTES SEXOS</v>
          </cell>
        </row>
        <row r="94">
          <cell r="A94">
            <v>1093</v>
          </cell>
          <cell r="B94" t="str">
            <v>PARTE</v>
          </cell>
          <cell r="C94" t="str">
            <v>PARTE</v>
          </cell>
          <cell r="D94" t="str">
            <v>PARTE</v>
          </cell>
          <cell r="E94" t="str">
            <v>PARTE</v>
          </cell>
          <cell r="F94" t="str">
            <v>DIGMG</v>
          </cell>
          <cell r="G94" t="str">
            <v>PROFERIR CALUMNIAS</v>
          </cell>
        </row>
        <row r="95">
          <cell r="A95">
            <v>1094</v>
          </cell>
          <cell r="B95" t="str">
            <v>2PV</v>
          </cell>
          <cell r="C95" t="str">
            <v>2PV</v>
          </cell>
          <cell r="D95" t="str">
            <v>2PV</v>
          </cell>
          <cell r="E95" t="str">
            <v>2PV</v>
          </cell>
          <cell r="F95" t="str">
            <v>DIGMG</v>
          </cell>
          <cell r="G95" t="str">
            <v>COLOCAR FIGURAS PORNOGRAFICAS EN LOS ROPEROS</v>
          </cell>
        </row>
        <row r="96">
          <cell r="A96">
            <v>1095</v>
          </cell>
          <cell r="B96" t="str">
            <v>JUNTA ACAD</v>
          </cell>
          <cell r="C96" t="str">
            <v>JUNTA ACAD</v>
          </cell>
          <cell r="D96" t="str">
            <v>JUNTA ACAD</v>
          </cell>
          <cell r="E96" t="str">
            <v xml:space="preserve">JUNTA ACAD </v>
          </cell>
          <cell r="F96" t="str">
            <v>DIGMG</v>
          </cell>
          <cell r="G96" t="str">
            <v xml:space="preserve">DETERIORAR INTENCIONALMENTE EL PATRIMONIO DEL COLEGIO </v>
          </cell>
        </row>
        <row r="97">
          <cell r="A97">
            <v>1096</v>
          </cell>
          <cell r="B97" t="str">
            <v>JUNTA ACAD</v>
          </cell>
          <cell r="C97" t="str">
            <v>JUNTA ACAD</v>
          </cell>
          <cell r="D97" t="str">
            <v>JUNTA ACAD</v>
          </cell>
          <cell r="E97" t="str">
            <v xml:space="preserve">JUNTA ACAD </v>
          </cell>
          <cell r="F97" t="str">
            <v>DIGMG</v>
          </cell>
          <cell r="G97" t="str">
            <v>REALIZAR EXHIBICIONES INDECENTES</v>
          </cell>
        </row>
        <row r="98">
          <cell r="A98">
            <v>1097</v>
          </cell>
          <cell r="B98" t="str">
            <v>2PV</v>
          </cell>
          <cell r="C98" t="str">
            <v>2PV</v>
          </cell>
          <cell r="D98" t="str">
            <v>2PV</v>
          </cell>
          <cell r="E98" t="str">
            <v>2PV</v>
          </cell>
          <cell r="F98" t="str">
            <v>DIGMG</v>
          </cell>
          <cell r="G98" t="str">
            <v>INSCRIPCIONES EN MOBILIARIO, ENSERES Y PRENDAS</v>
          </cell>
        </row>
        <row r="99">
          <cell r="A99">
            <v>1098</v>
          </cell>
          <cell r="B99" t="str">
            <v>BAJA</v>
          </cell>
          <cell r="C99" t="str">
            <v>BAJA</v>
          </cell>
          <cell r="D99" t="str">
            <v>BAJA</v>
          </cell>
          <cell r="E99" t="str">
            <v>BAJA</v>
          </cell>
          <cell r="F99" t="str">
            <v>DIGMG</v>
          </cell>
          <cell r="G99" t="str">
            <v>INTRODUCIR AL PLANTEL DROGAS DE CUALQUIER TIPO</v>
          </cell>
        </row>
        <row r="100">
          <cell r="A100">
            <v>1099</v>
          </cell>
          <cell r="B100" t="str">
            <v>PARTE</v>
          </cell>
          <cell r="C100" t="str">
            <v>PARTE</v>
          </cell>
          <cell r="D100" t="str">
            <v>PARTE</v>
          </cell>
          <cell r="E100" t="str">
            <v>PARTE</v>
          </cell>
          <cell r="F100" t="str">
            <v>DIGMG</v>
          </cell>
          <cell r="G100" t="str">
            <v xml:space="preserve">OBLIGAR AL CADETE A EFECTUAR ACTOS CONTRA LA MORAL </v>
          </cell>
        </row>
        <row r="101">
          <cell r="A101">
            <v>1100</v>
          </cell>
          <cell r="B101" t="str">
            <v>2PV</v>
          </cell>
          <cell r="C101" t="str">
            <v>2PV</v>
          </cell>
          <cell r="D101" t="str">
            <v>2PV</v>
          </cell>
          <cell r="E101" t="str">
            <v>2PV</v>
          </cell>
          <cell r="F101" t="str">
            <v>DIGMG</v>
          </cell>
          <cell r="G101" t="str">
            <v>PONER SOBRENOMBRE A SUS COMPAÑEROS O SUPERIORES</v>
          </cell>
        </row>
        <row r="102">
          <cell r="A102">
            <v>1101</v>
          </cell>
          <cell r="B102">
            <v>5</v>
          </cell>
          <cell r="C102">
            <v>5</v>
          </cell>
          <cell r="D102">
            <v>5</v>
          </cell>
          <cell r="E102">
            <v>5</v>
          </cell>
          <cell r="F102" t="str">
            <v>DIGMG</v>
          </cell>
          <cell r="G102" t="str">
            <v>JUGARSE DE MANOS</v>
          </cell>
        </row>
        <row r="103">
          <cell r="A103">
            <v>1102</v>
          </cell>
          <cell r="B103" t="str">
            <v>2PV</v>
          </cell>
          <cell r="C103" t="str">
            <v>2PV</v>
          </cell>
          <cell r="D103" t="str">
            <v>2PV</v>
          </cell>
          <cell r="E103" t="str">
            <v>2PV</v>
          </cell>
          <cell r="F103" t="str">
            <v>DIGMG</v>
          </cell>
          <cell r="G103" t="str">
            <v>DAR NOMBRE FALSO</v>
          </cell>
        </row>
        <row r="104">
          <cell r="A104">
            <v>1103</v>
          </cell>
          <cell r="B104" t="str">
            <v>1PV</v>
          </cell>
          <cell r="C104" t="str">
            <v>1PV</v>
          </cell>
          <cell r="D104" t="str">
            <v>1PV</v>
          </cell>
          <cell r="E104" t="str">
            <v>1PV</v>
          </cell>
          <cell r="F104" t="str">
            <v>DIGMG</v>
          </cell>
          <cell r="G104" t="str">
            <v>TOMAR EL NOMBRE DE UN SUPERIOR PARA EVITAR SER SANCIONADO</v>
          </cell>
        </row>
        <row r="105">
          <cell r="A105">
            <v>1104</v>
          </cell>
          <cell r="B105">
            <v>6</v>
          </cell>
          <cell r="C105">
            <v>6</v>
          </cell>
          <cell r="D105">
            <v>6</v>
          </cell>
          <cell r="E105">
            <v>6</v>
          </cell>
          <cell r="F105" t="str">
            <v>HONRL</v>
          </cell>
          <cell r="G105" t="str">
            <v xml:space="preserve">TOMAR ALIMENTOS QUE NO LE CORRESPONDEN </v>
          </cell>
        </row>
        <row r="106">
          <cell r="A106">
            <v>1105</v>
          </cell>
          <cell r="B106">
            <v>15</v>
          </cell>
          <cell r="C106">
            <v>15</v>
          </cell>
          <cell r="D106">
            <v>15</v>
          </cell>
          <cell r="E106">
            <v>15</v>
          </cell>
          <cell r="F106" t="str">
            <v>HONRL</v>
          </cell>
          <cell r="G106" t="str">
            <v>HACER USO DEL TELEFONO PUBLICO EN HORAS NO ESTABLECIDAS</v>
          </cell>
        </row>
        <row r="107">
          <cell r="A107">
            <v>1106</v>
          </cell>
          <cell r="B107">
            <v>20</v>
          </cell>
          <cell r="C107">
            <v>20</v>
          </cell>
          <cell r="D107">
            <v>20</v>
          </cell>
          <cell r="E107">
            <v>20</v>
          </cell>
          <cell r="F107" t="str">
            <v>HONRG</v>
          </cell>
          <cell r="G107" t="str">
            <v xml:space="preserve">DAR PARTE FALSO </v>
          </cell>
        </row>
        <row r="108">
          <cell r="A108">
            <v>1107</v>
          </cell>
          <cell r="B108">
            <v>15</v>
          </cell>
          <cell r="C108">
            <v>15</v>
          </cell>
          <cell r="D108">
            <v>15</v>
          </cell>
          <cell r="E108">
            <v>15</v>
          </cell>
          <cell r="F108" t="str">
            <v>HONRG</v>
          </cell>
          <cell r="G108" t="str">
            <v>ENSUCIAR INTENCIONALMENTE LAS PRENDAS DE UN COMPAÑERO</v>
          </cell>
        </row>
        <row r="109">
          <cell r="A109">
            <v>1108</v>
          </cell>
          <cell r="B109">
            <v>20</v>
          </cell>
          <cell r="C109">
            <v>20</v>
          </cell>
          <cell r="D109">
            <v>20</v>
          </cell>
          <cell r="E109">
            <v>20</v>
          </cell>
          <cell r="F109" t="str">
            <v>HONRG</v>
          </cell>
          <cell r="G109" t="str">
            <v>SACAR PRENDAS O UTILES FUERA DEL PLANTEL SIN AUTORIZACION</v>
          </cell>
        </row>
        <row r="110">
          <cell r="A110">
            <v>1109</v>
          </cell>
          <cell r="B110" t="str">
            <v>1PV</v>
          </cell>
          <cell r="C110" t="str">
            <v>1PV</v>
          </cell>
          <cell r="D110" t="str">
            <v>1PV</v>
          </cell>
          <cell r="E110" t="str">
            <v>1PV</v>
          </cell>
          <cell r="F110" t="str">
            <v>HONRG</v>
          </cell>
          <cell r="G110" t="str">
            <v>SIMULAR ENFERMEDAD PARA SUSTRAERSE DEL ENTRENAMIENTO FISICO</v>
          </cell>
        </row>
        <row r="111">
          <cell r="A111">
            <v>1110</v>
          </cell>
          <cell r="B111" t="str">
            <v>1PV</v>
          </cell>
          <cell r="C111" t="str">
            <v>1PV</v>
          </cell>
          <cell r="D111" t="str">
            <v>1PV</v>
          </cell>
          <cell r="E111" t="str">
            <v>1PV</v>
          </cell>
          <cell r="F111" t="str">
            <v>HONRMG</v>
          </cell>
          <cell r="G111" t="str">
            <v>ADQUIRIR PRENDAS DE OTRO CADETE</v>
          </cell>
        </row>
        <row r="112">
          <cell r="A112">
            <v>1111</v>
          </cell>
          <cell r="B112" t="str">
            <v xml:space="preserve">JUNTA ACAD </v>
          </cell>
          <cell r="C112" t="str">
            <v xml:space="preserve">JUNTA ACAD </v>
          </cell>
          <cell r="D112" t="str">
            <v xml:space="preserve">JUNTA ACAD </v>
          </cell>
          <cell r="E112" t="str">
            <v xml:space="preserve">JUNTA ACAD  </v>
          </cell>
          <cell r="F112" t="str">
            <v>HONRMG</v>
          </cell>
          <cell r="G112" t="str">
            <v>TOMAR LAS PRENDAS DE UN COMPAÑERO</v>
          </cell>
        </row>
        <row r="113">
          <cell r="A113">
            <v>1112</v>
          </cell>
          <cell r="B113" t="str">
            <v xml:space="preserve">JUNTA ACAD </v>
          </cell>
          <cell r="C113" t="str">
            <v xml:space="preserve">JUNTA ACAD </v>
          </cell>
          <cell r="D113" t="str">
            <v xml:space="preserve">JUNTA ACAD </v>
          </cell>
          <cell r="E113" t="str">
            <v xml:space="preserve">JUNTA ACAD  </v>
          </cell>
          <cell r="F113" t="str">
            <v>HONRMG</v>
          </cell>
          <cell r="G113" t="str">
            <v>COPIAR DURANTE UN EXAMEN</v>
          </cell>
        </row>
        <row r="114">
          <cell r="A114">
            <v>1113</v>
          </cell>
          <cell r="B114" t="str">
            <v>1PV</v>
          </cell>
          <cell r="C114" t="str">
            <v>1PV</v>
          </cell>
          <cell r="D114" t="str">
            <v>1PV</v>
          </cell>
          <cell r="E114" t="str">
            <v>1PV</v>
          </cell>
          <cell r="F114" t="str">
            <v>HONRMG</v>
          </cell>
          <cell r="G114" t="str">
            <v>ENCONTRAR PRENDAS DE UN COMPAÑERO Y NO DAR CUENTA</v>
          </cell>
        </row>
        <row r="115">
          <cell r="A115">
            <v>1114</v>
          </cell>
          <cell r="B115" t="str">
            <v>2PV</v>
          </cell>
          <cell r="C115" t="str">
            <v>2PV</v>
          </cell>
          <cell r="D115" t="str">
            <v>2PV</v>
          </cell>
          <cell r="E115" t="str">
            <v>2PV</v>
          </cell>
          <cell r="F115" t="str">
            <v>HONRMG</v>
          </cell>
          <cell r="G115" t="str">
            <v>ENCUBRIR A UN COMPAÑERO</v>
          </cell>
        </row>
        <row r="116">
          <cell r="A116">
            <v>1115</v>
          </cell>
          <cell r="B116" t="str">
            <v xml:space="preserve">JUNTA ACAD </v>
          </cell>
          <cell r="C116" t="str">
            <v xml:space="preserve">JUNTA ACAD </v>
          </cell>
          <cell r="D116" t="str">
            <v xml:space="preserve">JUNTA ACAD </v>
          </cell>
          <cell r="E116" t="str">
            <v xml:space="preserve">JUNTA ACAD  </v>
          </cell>
          <cell r="F116" t="str">
            <v>HONRMG</v>
          </cell>
          <cell r="G116" t="str">
            <v>FALSIFICAR LA FIRMA DEL PADRE O APODERADO</v>
          </cell>
        </row>
        <row r="117">
          <cell r="A117">
            <v>1116</v>
          </cell>
          <cell r="B117" t="str">
            <v>1PV</v>
          </cell>
          <cell r="C117" t="str">
            <v>1PV</v>
          </cell>
          <cell r="D117" t="str">
            <v>1PV</v>
          </cell>
          <cell r="E117" t="str">
            <v>1PV</v>
          </cell>
          <cell r="F117" t="str">
            <v>HONRMG</v>
          </cell>
          <cell r="G117" t="str">
            <v xml:space="preserve">TOMAR EL NOMBRE DE UN SUPERIOR PARA DAR UNA ORDEN </v>
          </cell>
        </row>
        <row r="118">
          <cell r="A118">
            <v>1117</v>
          </cell>
          <cell r="B118" t="str">
            <v>2PV</v>
          </cell>
          <cell r="C118" t="str">
            <v>2PV</v>
          </cell>
          <cell r="D118" t="str">
            <v>2PV</v>
          </cell>
          <cell r="E118" t="str">
            <v>2PV</v>
          </cell>
          <cell r="F118" t="str">
            <v>HONRMG</v>
          </cell>
          <cell r="G118" t="str">
            <v>MENTIR A UN SUPERIOR, PERSONAL MILITAR O DOCENTE</v>
          </cell>
        </row>
        <row r="119">
          <cell r="A119">
            <v>1118</v>
          </cell>
          <cell r="B119" t="str">
            <v xml:space="preserve">JUNTA ACAD </v>
          </cell>
          <cell r="C119" t="str">
            <v xml:space="preserve">JUNTA ACAD </v>
          </cell>
          <cell r="D119" t="str">
            <v xml:space="preserve">JUNTA ACAD </v>
          </cell>
          <cell r="E119" t="str">
            <v xml:space="preserve">JUNTA ACAD  </v>
          </cell>
          <cell r="F119" t="str">
            <v>HONRMG</v>
          </cell>
          <cell r="G119" t="str">
            <v>ENAJENAR (VENDER) ARTICULOS DEL PLANTEL</v>
          </cell>
        </row>
        <row r="120">
          <cell r="A120">
            <v>1119</v>
          </cell>
          <cell r="B120" t="str">
            <v>PARTE</v>
          </cell>
          <cell r="C120" t="str">
            <v xml:space="preserve">JUNTA ACAD </v>
          </cell>
          <cell r="D120" t="str">
            <v xml:space="preserve">JUNTA ACAD </v>
          </cell>
          <cell r="E120" t="str">
            <v xml:space="preserve">JUNTA ACAD  </v>
          </cell>
          <cell r="F120" t="str">
            <v>HONRMG</v>
          </cell>
          <cell r="G120" t="str">
            <v>SUSTRAER UTILES DE INSTRUCCIÓN O EFECTOS PERSONALES DE UN COMPAÑERO DE AULA O COLEGIO,PERSONAL MILITAR, DOCENTE O ADMINISTRATIVO</v>
          </cell>
        </row>
        <row r="121">
          <cell r="A121">
            <v>1120</v>
          </cell>
          <cell r="B121">
            <v>10</v>
          </cell>
          <cell r="C121">
            <v>10</v>
          </cell>
          <cell r="D121">
            <v>10</v>
          </cell>
          <cell r="E121">
            <v>10</v>
          </cell>
          <cell r="F121" t="str">
            <v>NEGL</v>
          </cell>
          <cell r="G121" t="str">
            <v>DEJAR ABANDONADAS SUS PRENDAS</v>
          </cell>
        </row>
        <row r="122">
          <cell r="A122">
            <v>1121</v>
          </cell>
          <cell r="B122">
            <v>10</v>
          </cell>
          <cell r="C122">
            <v>10</v>
          </cell>
          <cell r="D122">
            <v>10</v>
          </cell>
          <cell r="E122">
            <v>10</v>
          </cell>
          <cell r="F122" t="str">
            <v>NEGL</v>
          </cell>
          <cell r="G122" t="str">
            <v>DEJAR SU CAMA SIN TENDER</v>
          </cell>
        </row>
        <row r="123">
          <cell r="A123">
            <v>1122</v>
          </cell>
          <cell r="B123">
            <v>10</v>
          </cell>
          <cell r="C123">
            <v>10</v>
          </cell>
          <cell r="D123">
            <v>10</v>
          </cell>
          <cell r="E123">
            <v>10</v>
          </cell>
          <cell r="F123" t="str">
            <v>NEGL</v>
          </cell>
          <cell r="G123" t="str">
            <v>FALTA DE VOLUNTAD PARA LOS EJERCICIOS</v>
          </cell>
        </row>
        <row r="124">
          <cell r="A124">
            <v>1123</v>
          </cell>
          <cell r="B124">
            <v>10</v>
          </cell>
          <cell r="C124">
            <v>10</v>
          </cell>
          <cell r="D124">
            <v>10</v>
          </cell>
          <cell r="E124">
            <v>10</v>
          </cell>
          <cell r="F124" t="str">
            <v>NEGL</v>
          </cell>
          <cell r="G124" t="str">
            <v>NO CUMPLIR CON SUS FUNCIONES DE JEFE DE MESA</v>
          </cell>
        </row>
        <row r="125">
          <cell r="A125">
            <v>1124</v>
          </cell>
          <cell r="B125">
            <v>10</v>
          </cell>
          <cell r="C125">
            <v>10</v>
          </cell>
          <cell r="D125">
            <v>10</v>
          </cell>
          <cell r="E125">
            <v>10</v>
          </cell>
          <cell r="F125" t="str">
            <v>NEGL</v>
          </cell>
          <cell r="G125" t="str">
            <v>NO CUMPLIR CON SUS FUNCIONES DE BRIGADIER DE AULA / SECCION / SERVICIO</v>
          </cell>
        </row>
        <row r="126">
          <cell r="A126">
            <v>1125</v>
          </cell>
          <cell r="B126">
            <v>10</v>
          </cell>
          <cell r="C126">
            <v>10</v>
          </cell>
          <cell r="D126">
            <v>10</v>
          </cell>
          <cell r="E126">
            <v>10</v>
          </cell>
          <cell r="F126" t="str">
            <v>NEGL</v>
          </cell>
          <cell r="G126" t="str">
            <v>NO DAR PARTE AL SERVICIO DE DIA AL INTERNARSE O SALIR DE LA ENFERMERIA</v>
          </cell>
        </row>
        <row r="127">
          <cell r="A127">
            <v>1126</v>
          </cell>
          <cell r="B127">
            <v>6</v>
          </cell>
          <cell r="C127">
            <v>7</v>
          </cell>
          <cell r="D127">
            <v>8</v>
          </cell>
          <cell r="E127">
            <v>5</v>
          </cell>
          <cell r="F127" t="str">
            <v>NEGL</v>
          </cell>
          <cell r="G127" t="str">
            <v>PERMANECER EN EL AULA EN HORAS NO ESTABLECIDAS(DESCANSO)</v>
          </cell>
        </row>
        <row r="128">
          <cell r="A128">
            <v>1127</v>
          </cell>
          <cell r="B128">
            <v>10</v>
          </cell>
          <cell r="C128">
            <v>10</v>
          </cell>
          <cell r="D128">
            <v>10</v>
          </cell>
          <cell r="E128">
            <v>10</v>
          </cell>
          <cell r="F128" t="str">
            <v>NEGL</v>
          </cell>
          <cell r="G128" t="str">
            <v>NO DAR PARTE INMEDIATAMENTE DE LA PERDIDA DE SUS PRENDAS</v>
          </cell>
        </row>
        <row r="129">
          <cell r="A129">
            <v>1128</v>
          </cell>
          <cell r="B129">
            <v>10</v>
          </cell>
          <cell r="C129">
            <v>10</v>
          </cell>
          <cell r="D129">
            <v>10</v>
          </cell>
          <cell r="E129">
            <v>10</v>
          </cell>
          <cell r="F129" t="str">
            <v>NEGL</v>
          </cell>
          <cell r="G129" t="str">
            <v xml:space="preserve">NO FIRMAR EL REGISTRO DE SERVICIO </v>
          </cell>
        </row>
        <row r="130">
          <cell r="A130">
            <v>1129</v>
          </cell>
          <cell r="B130">
            <v>10</v>
          </cell>
          <cell r="C130">
            <v>10</v>
          </cell>
          <cell r="D130">
            <v>10</v>
          </cell>
          <cell r="E130">
            <v>10</v>
          </cell>
          <cell r="F130" t="str">
            <v>NEGL</v>
          </cell>
          <cell r="G130" t="str">
            <v>NO LLEVAR LAS PRENDAS REGLAMENTARIAS A LA ENFERMERIA</v>
          </cell>
        </row>
        <row r="131">
          <cell r="A131">
            <v>1130</v>
          </cell>
          <cell r="B131">
            <v>5</v>
          </cell>
          <cell r="C131">
            <v>10</v>
          </cell>
          <cell r="D131">
            <v>10</v>
          </cell>
          <cell r="E131">
            <v>10</v>
          </cell>
          <cell r="F131" t="str">
            <v>NEGL</v>
          </cell>
          <cell r="G131" t="str">
            <v>NO LLEVAR A CLASES SUS UTILES DE INSTRUCCION</v>
          </cell>
        </row>
        <row r="132">
          <cell r="A132">
            <v>1131</v>
          </cell>
          <cell r="B132">
            <v>6</v>
          </cell>
          <cell r="C132">
            <v>6</v>
          </cell>
          <cell r="D132">
            <v>6</v>
          </cell>
          <cell r="E132">
            <v>6</v>
          </cell>
          <cell r="F132" t="str">
            <v>NEGL</v>
          </cell>
          <cell r="G132" t="str">
            <v>NO PREPARAR LA REVISTA DE PRENDAS DE ACUERDO AL MODELO</v>
          </cell>
        </row>
        <row r="133">
          <cell r="A133">
            <v>1132</v>
          </cell>
          <cell r="B133">
            <v>6</v>
          </cell>
          <cell r="C133">
            <v>6</v>
          </cell>
          <cell r="D133">
            <v>6</v>
          </cell>
          <cell r="E133">
            <v>6</v>
          </cell>
          <cell r="F133" t="str">
            <v>NEGL</v>
          </cell>
          <cell r="G133" t="str">
            <v>NO TENER PRENDAS MARCADAS</v>
          </cell>
        </row>
        <row r="134">
          <cell r="A134">
            <v>1133</v>
          </cell>
          <cell r="B134">
            <v>6</v>
          </cell>
          <cell r="C134">
            <v>6</v>
          </cell>
          <cell r="D134">
            <v>6</v>
          </cell>
          <cell r="E134">
            <v>6</v>
          </cell>
          <cell r="F134" t="str">
            <v>NEGL</v>
          </cell>
          <cell r="G134" t="str">
            <v>PASAR MALA REVISTA DE PRENDAS</v>
          </cell>
        </row>
        <row r="135">
          <cell r="A135">
            <v>1134</v>
          </cell>
          <cell r="B135">
            <v>20</v>
          </cell>
          <cell r="C135">
            <v>20</v>
          </cell>
          <cell r="D135">
            <v>20</v>
          </cell>
          <cell r="E135">
            <v>20</v>
          </cell>
          <cell r="F135" t="str">
            <v>NEGG</v>
          </cell>
          <cell r="G135" t="str">
            <v xml:space="preserve">TENER SU ARMAMENTO FALTO DE MANTENIMIENTO  </v>
          </cell>
        </row>
        <row r="136">
          <cell r="A136">
            <v>1135</v>
          </cell>
          <cell r="B136">
            <v>20</v>
          </cell>
          <cell r="C136">
            <v>20</v>
          </cell>
          <cell r="D136">
            <v>20</v>
          </cell>
          <cell r="E136">
            <v>20</v>
          </cell>
          <cell r="F136" t="str">
            <v>NEGG</v>
          </cell>
          <cell r="G136" t="str">
            <v xml:space="preserve">SIENDO MONITOR, DEMOSTRAR FALTA DE CONTROL </v>
          </cell>
        </row>
        <row r="137">
          <cell r="A137">
            <v>1136</v>
          </cell>
          <cell r="B137" t="str">
            <v>1PV</v>
          </cell>
          <cell r="C137" t="str">
            <v>1PV</v>
          </cell>
          <cell r="D137" t="str">
            <v>1PV</v>
          </cell>
          <cell r="E137" t="str">
            <v>1PV</v>
          </cell>
          <cell r="F137" t="str">
            <v>NEGG</v>
          </cell>
          <cell r="G137" t="str">
            <v>JUGAR CON EL ARMAMENTO O SUS ACCESORIOS</v>
          </cell>
        </row>
        <row r="138">
          <cell r="A138">
            <v>1137</v>
          </cell>
          <cell r="B138" t="str">
            <v>1PV</v>
          </cell>
          <cell r="C138" t="str">
            <v>1PV</v>
          </cell>
          <cell r="D138" t="str">
            <v>1PV</v>
          </cell>
          <cell r="E138" t="str">
            <v>1PV</v>
          </cell>
          <cell r="F138" t="str">
            <v>NEGG</v>
          </cell>
          <cell r="G138" t="str">
            <v>NO DAR CUENTA DE PERDIDA O ROTURA DE UNA PIEZA DE SU FUSIL</v>
          </cell>
        </row>
        <row r="139">
          <cell r="A139">
            <v>1138</v>
          </cell>
          <cell r="B139">
            <v>10</v>
          </cell>
          <cell r="C139">
            <v>10</v>
          </cell>
          <cell r="D139">
            <v>10</v>
          </cell>
          <cell r="E139">
            <v>10</v>
          </cell>
          <cell r="F139" t="str">
            <v>NEGG</v>
          </cell>
          <cell r="G139" t="str">
            <v>NO ENTREGAR TRABAJOS O TAREAS DISPUESTAS POR EL DOCENTE SIN JUSTIFICACION</v>
          </cell>
        </row>
        <row r="140">
          <cell r="A140">
            <v>1139</v>
          </cell>
          <cell r="B140" t="str">
            <v xml:space="preserve">PARTE </v>
          </cell>
          <cell r="C140" t="str">
            <v xml:space="preserve">JUNTA ACAD </v>
          </cell>
          <cell r="D140" t="str">
            <v xml:space="preserve">JUNTA ACAD </v>
          </cell>
          <cell r="E140" t="str">
            <v xml:space="preserve">JUNTA ACAD </v>
          </cell>
          <cell r="F140" t="str">
            <v>NEGMG</v>
          </cell>
          <cell r="G140" t="str">
            <v>EMPLEO DEL ARMAMENTO CON FINES AJENOS A LA INSTITUCION</v>
          </cell>
        </row>
        <row r="141">
          <cell r="A141">
            <v>1140</v>
          </cell>
          <cell r="B141">
            <v>6</v>
          </cell>
          <cell r="C141">
            <v>6</v>
          </cell>
          <cell r="D141">
            <v>6</v>
          </cell>
          <cell r="E141">
            <v>6</v>
          </cell>
          <cell r="F141" t="str">
            <v>PORL</v>
          </cell>
          <cell r="G141" t="str">
            <v>FALTA DE PORTE ESTANDO EN FORMACION O AISLADO</v>
          </cell>
        </row>
        <row r="142">
          <cell r="A142">
            <v>1141</v>
          </cell>
          <cell r="B142">
            <v>10</v>
          </cell>
          <cell r="C142">
            <v>10</v>
          </cell>
          <cell r="D142">
            <v>10</v>
          </cell>
          <cell r="E142">
            <v>10</v>
          </cell>
          <cell r="F142" t="str">
            <v>PORL</v>
          </cell>
          <cell r="G142" t="str">
            <v>HABLAR O REIRSE ESTANDO EN FORMACION</v>
          </cell>
        </row>
        <row r="143">
          <cell r="A143">
            <v>1142</v>
          </cell>
          <cell r="B143">
            <v>6</v>
          </cell>
          <cell r="C143">
            <v>6</v>
          </cell>
          <cell r="D143">
            <v>6</v>
          </cell>
          <cell r="E143">
            <v>6</v>
          </cell>
          <cell r="F143" t="str">
            <v>PORL</v>
          </cell>
          <cell r="G143" t="str">
            <v>NO COLOCARSE EN ATENCION AL HABLAR CON UN SUPERIOR</v>
          </cell>
        </row>
        <row r="144">
          <cell r="A144">
            <v>1143</v>
          </cell>
          <cell r="B144">
            <v>4</v>
          </cell>
          <cell r="C144">
            <v>4</v>
          </cell>
          <cell r="D144">
            <v>4</v>
          </cell>
          <cell r="E144">
            <v>4</v>
          </cell>
          <cell r="F144" t="str">
            <v>PORL</v>
          </cell>
          <cell r="G144" t="str">
            <v>PASAR MALA REVISTA DE POLICIA</v>
          </cell>
        </row>
        <row r="145">
          <cell r="A145">
            <v>1144</v>
          </cell>
          <cell r="B145">
            <v>10</v>
          </cell>
          <cell r="C145">
            <v>10</v>
          </cell>
          <cell r="D145">
            <v>10</v>
          </cell>
          <cell r="E145">
            <v>10</v>
          </cell>
          <cell r="F145" t="str">
            <v>PORL</v>
          </cell>
          <cell r="G145" t="str">
            <v>SALUDAR DE MANERA NO REGLAMENTARIA</v>
          </cell>
        </row>
        <row r="146">
          <cell r="A146">
            <v>1145</v>
          </cell>
          <cell r="B146">
            <v>6</v>
          </cell>
          <cell r="C146">
            <v>6</v>
          </cell>
          <cell r="D146">
            <v>6</v>
          </cell>
          <cell r="E146">
            <v>6</v>
          </cell>
          <cell r="F146" t="str">
            <v>PORL</v>
          </cell>
          <cell r="G146" t="str">
            <v xml:space="preserve">TENER EL CABELLO LARGO Y/O LA BARBA CRECIDA </v>
          </cell>
        </row>
        <row r="147">
          <cell r="A147">
            <v>1146</v>
          </cell>
          <cell r="B147">
            <v>8</v>
          </cell>
          <cell r="C147">
            <v>9</v>
          </cell>
          <cell r="D147">
            <v>10</v>
          </cell>
          <cell r="E147">
            <v>6</v>
          </cell>
          <cell r="F147" t="str">
            <v>PORL</v>
          </cell>
          <cell r="G147" t="str">
            <v xml:space="preserve">INGERIR ALIMENTOS EN EL AULA </v>
          </cell>
        </row>
        <row r="148">
          <cell r="A148">
            <v>1147</v>
          </cell>
          <cell r="B148">
            <v>10</v>
          </cell>
          <cell r="C148" t="str">
            <v>1PV</v>
          </cell>
          <cell r="D148" t="str">
            <v>1PV</v>
          </cell>
          <cell r="E148">
            <v>10</v>
          </cell>
          <cell r="F148" t="str">
            <v>PORL</v>
          </cell>
          <cell r="G148" t="str">
            <v xml:space="preserve">REALIZAR ACTIVIDADES AJENAS DURANTE LA INSTRUCCIÓN </v>
          </cell>
        </row>
        <row r="149">
          <cell r="A149">
            <v>1150</v>
          </cell>
          <cell r="B149" t="str">
            <v>PARTE</v>
          </cell>
          <cell r="C149" t="str">
            <v>PARTE</v>
          </cell>
          <cell r="D149" t="str">
            <v>PARTE</v>
          </cell>
          <cell r="E149" t="str">
            <v>PARTE</v>
          </cell>
          <cell r="G149" t="str">
            <v>CONSIGNA SOLICITADA POR EL JEFE DE AÑO</v>
          </cell>
        </row>
        <row r="150">
          <cell r="A150">
            <v>1151</v>
          </cell>
          <cell r="G150" t="str">
            <v>SUSPENSION POR FALTAS</v>
          </cell>
        </row>
        <row r="151">
          <cell r="A151">
            <v>1152</v>
          </cell>
          <cell r="B151" t="str">
            <v>1PV</v>
          </cell>
          <cell r="C151" t="str">
            <v>1PV</v>
          </cell>
          <cell r="D151" t="str">
            <v>1PV</v>
          </cell>
          <cell r="G151" t="str">
            <v>OCASIONAR TRASNSTORNOS ADMINISTRATIVOS AL COLEGIO</v>
          </cell>
        </row>
        <row r="152">
          <cell r="A152">
            <v>1153</v>
          </cell>
          <cell r="G152" t="str">
            <v>CONSIGNA - DIRECTOR CMGAL</v>
          </cell>
        </row>
        <row r="153">
          <cell r="A153">
            <v>1154</v>
          </cell>
          <cell r="B153">
            <v>10</v>
          </cell>
          <cell r="C153">
            <v>12</v>
          </cell>
          <cell r="D153">
            <v>15</v>
          </cell>
          <cell r="G153" t="str">
            <v>NO CUMPLIR CON UN COMPROMISO</v>
          </cell>
        </row>
        <row r="154">
          <cell r="A154">
            <v>1155</v>
          </cell>
          <cell r="B154">
            <v>8</v>
          </cell>
          <cell r="C154">
            <v>12</v>
          </cell>
          <cell r="D154">
            <v>15</v>
          </cell>
          <cell r="G154" t="str">
            <v>CORTARSE EL PELO ANTIREGLAMENTARIAMENTE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2" /><Relationship Type="http://schemas.openxmlformats.org/officeDocument/2006/relationships/printerSettings" Target="..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../drawings/drawing3.xml" Id="rId2" /><Relationship Type="http://schemas.openxmlformats.org/officeDocument/2006/relationships/printerSettings" Target="..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../drawings/drawing4.xml" Id="rId2" /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../drawings/drawing5.xml" Id="rId2" /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../drawings/drawing6.xml" Id="rId2" /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Hoja8">
    <x:tabColor rgb="FF00B0F0"/>
    <x:outlinePr summaryBelow="1" summaryRight="1"/>
    <x:pageSetUpPr fitToPage="1"/>
  </x:sheetPr>
  <x:dimension ref="A2:I8"/>
  <x:sheetViews>
    <x:sheetView tabSelected="1" topLeftCell="A7" workbookViewId="0">
      <x:selection activeCell="C37" sqref="C37"/>
    </x:sheetView>
  </x:sheetViews>
  <x:sheetFormatPr baseColWidth="10" defaultColWidth="11.420625" defaultRowHeight="15" x14ac:dyDescent="0.25"/>
  <x:cols>
    <x:col min="1" max="1" width="6.855469" style="0" customWidth="1"/>
    <x:col min="2" max="2" width="10.425781" style="0" customWidth="1"/>
    <x:col min="3" max="3" width="47" style="0" customWidth="1"/>
    <x:col min="4" max="4" width="43.140625" style="0" customWidth="1"/>
    <x:col min="5" max="6" width="6.710938" style="0" customWidth="1"/>
    <x:col min="7" max="7" width="7" style="0" customWidth="1"/>
    <x:col min="8" max="8" width="11.425781" style="0" customWidth="1"/>
    <x:col min="9" max="9" width="34.710938" style="0" customWidth="1"/>
  </x:cols>
  <x:sheetData>
    <x:row r="2" spans="1:9" x14ac:dyDescent="0.25">
      <x:c r="A2" s="32" t="s">
        <x:v>0</x:v>
      </x:c>
      <x:c r="B2" s="32"/>
      <x:c r="C2" s="32"/>
      <x:c r="D2" s="32"/>
      <x:c r="E2" s="33" t="s">
        <x:v>1</x:v>
      </x:c>
      <x:c r="F2" s="33"/>
      <x:c r="G2" s="33"/>
      <x:c r="H2" s="33"/>
    </x:row>
    <x:row r="3" spans="1:9" x14ac:dyDescent="0.25">
      <x:c r="A3" s="32"/>
      <x:c r="B3" s="32"/>
      <x:c r="C3" s="32"/>
      <x:c r="D3" s="32"/>
      <x:c r="E3" s="33" t="s">
        <x:v>2</x:v>
      </x:c>
      <x:c r="F3" s="33"/>
      <x:c r="G3" s="33"/>
      <x:c r="H3" s="33"/>
    </x:row>
    <x:row r="4" spans="1:9" x14ac:dyDescent="0.25">
      <x:c r="A4" s="32"/>
      <x:c r="B4" s="32"/>
      <x:c r="C4" s="32"/>
      <x:c r="D4" s="32"/>
      <x:c r="E4" s="34">
        <x:f>TODAY()</x:f>
      </x:c>
      <x:c r="F4" s="34"/>
      <x:c r="G4" s="34"/>
      <x:c r="H4" s="34"/>
    </x:row>
    <x:row r="6" spans="1:9" x14ac:dyDescent="0.25">
      <x:c r="A6" s="35" t="s">
        <x:v>3</x:v>
      </x:c>
      <x:c r="B6" s="35" t="s">
        <x:v>4</x:v>
      </x:c>
      <x:c r="C6" s="35" t="s">
        <x:v>5</x:v>
      </x:c>
      <x:c r="D6" s="35" t="s">
        <x:v>6</x:v>
      </x:c>
      <x:c r="E6" s="35" t="s">
        <x:v>7</x:v>
      </x:c>
      <x:c r="F6" s="35" t="s">
        <x:v>8</x:v>
      </x:c>
      <x:c r="G6" s="35" t="s">
        <x:v>9</x:v>
      </x:c>
      <x:c r="H6" s="35" t="s">
        <x:v>10</x:v>
      </x:c>
      <x:c r="I6" s="35" t="s">
        <x:v>11</x:v>
      </x:c>
    </x:row>
    <x:row r="7" spans="1:9" x14ac:dyDescent="0.25">
      <x:c r="A7" s="36"/>
      <x:c r="B7" s="37"/>
      <x:c r="C7" s="38"/>
      <x:c r="D7" s="39"/>
      <x:c r="E7" s="40"/>
      <x:c r="F7" s="40"/>
      <x:c r="G7" s="41"/>
      <x:c r="H7" s="42"/>
      <x:c r="I7" s="43"/>
    </x:row>
    <x:row r="8" spans="1:9" x14ac:dyDescent="0.25">
      <x:c r="A8" s="21"/>
    </x:row>
    <x:row r="9" spans="1:9">
      <x:c r="C9" s="44" t="s">
        <x:v>28</x:v>
      </x:c>
      <x:c r="E9" s="44" t="s">
        <x:v>28</x:v>
      </x:c>
      <x:c r="I9" s="44" t="s">
        <x:v>28</x:v>
      </x:c>
    </x:row>
    <x:row r="10" spans="1:9">
      <x:c r="C10" s="44" t="s">
        <x:v>29</x:v>
      </x:c>
      <x:c r="E10" s="44" t="s">
        <x:v>30</x:v>
      </x:c>
      <x:c r="I10" s="44" t="s">
        <x:v>31</x:v>
      </x:c>
    </x:row>
    <x:row r="11" spans="1:9">
      <x:c r="C11" s="45" t="s">
        <x:v>32</x:v>
      </x:c>
      <x:c r="E11" s="45" t="s">
        <x:v>33</x:v>
      </x:c>
      <x:c r="I11" s="45" t="s">
        <x:v>34</x:v>
      </x:c>
    </x:row>
    <x:row r="12" spans="1:9">
      <x:c r="C12" s="44" t="s">
        <x:v>35</x:v>
      </x:c>
      <x:c r="E12" s="44" t="s">
        <x:v>36</x:v>
      </x:c>
      <x:c r="I12" s="44" t="s">
        <x:v>37</x:v>
      </x:c>
    </x:row>
    <x:row r="13" spans="1:9">
      <x:c r="C13" s="44" t="s">
        <x:v>38</x:v>
      </x:c>
      <x:c r="E13" s="44" t="s">
        <x:v>39</x:v>
      </x:c>
      <x:c r="I13" s="44" t="s">
        <x:v>40</x:v>
      </x:c>
    </x:row>
  </x:sheetData>
  <x:mergeCells count="4">
    <x:mergeCell ref="A2:D4"/>
    <x:mergeCell ref="E2:H2"/>
    <x:mergeCell ref="E3:H3"/>
    <x:mergeCell ref="E4:H4"/>
  </x:mergeCells>
  <x:printOptions horizontalCentered="0" verticalCentered="0" headings="0" gridLines="0"/>
  <x:pageMargins left="0.25" right="0.25" top="0.75" bottom="0.75" header="0.3" footer="0.3"/>
  <x:pageSetup paperSize="9" fitToHeight="0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Hoja11">
    <x:tabColor rgb="FF00B0F0"/>
    <x:outlinePr summaryBelow="1" summaryRight="1"/>
    <x:pageSetUpPr fitToPage="1"/>
  </x:sheetPr>
  <x:dimension ref="A1:K4"/>
  <x:sheetViews>
    <x:sheetView workbookViewId="0">
      <x:selection activeCell="C37" sqref="C37"/>
    </x:sheetView>
  </x:sheetViews>
  <x:sheetFormatPr baseColWidth="10" defaultColWidth="11.420625" defaultRowHeight="15" x14ac:dyDescent="0.25"/>
  <x:cols>
    <x:col min="1" max="1" width="5.285156" style="0" customWidth="1"/>
    <x:col min="2" max="2" width="11.420625" style="0" customWidth="1"/>
    <x:col min="3" max="3" width="44.570312" style="0" customWidth="1"/>
    <x:col min="4" max="4" width="7.710938" style="0" customWidth="1"/>
    <x:col min="5" max="5" width="25.140625" style="0" customWidth="1"/>
  </x:cols>
  <x:sheetData>
    <x:row r="1" spans="1:11" ht="15.75" customHeight="1" x14ac:dyDescent="0.25">
      <x:c r="A1" s="25" t="s">
        <x:v>12</x:v>
      </x:c>
      <x:c r="B1" s="25"/>
      <x:c r="C1" s="25"/>
      <x:c r="D1" s="25"/>
      <x:c r="E1" s="25"/>
    </x:row>
    <x:row r="2" spans="1:11" ht="15.75" customHeight="1" x14ac:dyDescent="0.25">
      <x:c r="A2" s="26"/>
      <x:c r="B2" s="26"/>
      <x:c r="C2" s="26"/>
      <x:c r="D2" s="26"/>
      <x:c r="E2" s="26"/>
      <x:c r="G2" s="46" t="s">
        <x:v>13</x:v>
      </x:c>
      <x:c r="H2" s="46"/>
      <x:c r="I2" s="46"/>
      <x:c r="J2" s="46"/>
      <x:c r="K2" s="46"/>
    </x:row>
    <x:row r="3" spans="1:11" ht="21.75" customHeight="1" x14ac:dyDescent="0.25">
      <x:c r="A3" s="47" t="s">
        <x:v>3</x:v>
      </x:c>
      <x:c r="B3" s="47" t="s">
        <x:v>14</x:v>
      </x:c>
      <x:c r="C3" s="47" t="s">
        <x:v>5</x:v>
      </x:c>
      <x:c r="D3" s="47" t="s">
        <x:v>7</x:v>
      </x:c>
      <x:c r="E3" s="47" t="s">
        <x:v>15</x:v>
      </x:c>
      <x:c r="G3" s="48" t="s">
        <x:v>16</x:v>
      </x:c>
      <x:c r="H3" s="49" t="s">
        <x:v>17</x:v>
      </x:c>
      <x:c r="I3" s="49" t="s">
        <x:v>18</x:v>
      </x:c>
      <x:c r="J3" s="49" t="s">
        <x:v>19</x:v>
      </x:c>
      <x:c r="K3" s="49" t="s">
        <x:v>20</x:v>
      </x:c>
    </x:row>
    <x:row r="4" spans="1:11" ht="15.75" customHeight="1" x14ac:dyDescent="0.25">
      <x:c r="A4" s="36"/>
      <x:c r="B4" s="36"/>
      <x:c r="C4" s="50"/>
      <x:c r="D4" s="36"/>
      <x:c r="E4" s="51"/>
      <x:c r="G4" s="52" t="s">
        <x:v>21</x:v>
      </x:c>
      <x:c r="H4" s="13">
        <x:f>COUNTIF(RelacionSalida5[PTOS],"&gt;=10")</x:f>
      </x:c>
      <x:c r="I4" s="13">
        <x:f>H4-((COUNTIF(RelacionSalida5[PTOS], "&lt;15") - COUNTIF(RelacionSalida5[PTOS],"&lt;10")))</x:f>
      </x:c>
      <x:c r="J4" s="13">
        <x:f>COUNTIF(RelacionSalida5[PTOS],"&gt;=20")</x:f>
      </x:c>
      <x:c r="K4" s="13">
        <x:f>SUM(H4:J4)</x:f>
      </x:c>
    </x:row>
    <x:row r="7" spans="1:11">
      <x:c r="C7" s="44" t="s">
        <x:v>28</x:v>
      </x:c>
    </x:row>
    <x:row r="8" spans="1:11">
      <x:c r="C8" s="44" t="s">
        <x:v>29</x:v>
      </x:c>
    </x:row>
    <x:row r="9" spans="1:11">
      <x:c r="C9" s="45" t="s">
        <x:v>32</x:v>
      </x:c>
    </x:row>
    <x:row r="10" spans="1:11">
      <x:c r="C10" s="44" t="s">
        <x:v>35</x:v>
      </x:c>
    </x:row>
    <x:row r="11" spans="1:11">
      <x:c r="C11" s="44" t="s">
        <x:v>38</x:v>
      </x:c>
    </x:row>
  </x:sheetData>
  <x:mergeCells count="3">
    <x:mergeCell ref="A1:E1"/>
    <x:mergeCell ref="A2:E2"/>
    <x:mergeCell ref="G2:K2"/>
  </x:mergeCells>
  <x:printOptions horizontalCentered="0" verticalCentered="0" headings="0" gridLines="0"/>
  <x:pageMargins left="0.7086614173228347" right="0.7086614173228347" top="0.7480314960629921" bottom="0.7480314960629921" header="0.31496062992125984" footer="0.31496062992125984"/>
  <x:pageSetup paperSize="9" fitToHeight="0" pageOrder="downThenOver" orientation="portrait" blackAndWhite="0" draft="0" cellComments="none" errors="displayed" r:id="rId1"/>
  <x:headerFooter/>
  <x:drawing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3F8248-4B44-44B5-A17A-646F700DD33F}" mc:Ignorable="x14ac xr xr2 xr3">
  <x:sheetPr>
    <x:tabColor theme="7"/>
    <x:outlinePr summaryBelow="1" summaryRight="1"/>
    <x:pageSetUpPr fitToPage="1"/>
  </x:sheetPr>
  <x:dimension ref="A2:I8"/>
  <x:sheetViews>
    <x:sheetView workbookViewId="0">
      <x:selection activeCell="C37" sqref="C37"/>
    </x:sheetView>
  </x:sheetViews>
  <x:sheetFormatPr baseColWidth="10" defaultColWidth="11.420625" defaultRowHeight="15" x14ac:dyDescent="0.25"/>
  <x:cols>
    <x:col min="1" max="1" width="6.855469" style="0" customWidth="1"/>
    <x:col min="2" max="2" width="10.425781" style="0" customWidth="1"/>
    <x:col min="3" max="3" width="47" style="0" customWidth="1"/>
    <x:col min="4" max="4" width="43.140625" style="0" customWidth="1"/>
    <x:col min="5" max="6" width="6.710938" style="0" customWidth="1"/>
    <x:col min="7" max="7" width="7" style="0" customWidth="1"/>
    <x:col min="8" max="8" width="11.425781" style="0" customWidth="1"/>
    <x:col min="9" max="9" width="34.710938" style="0" customWidth="1"/>
  </x:cols>
  <x:sheetData>
    <x:row r="2" spans="1:9" x14ac:dyDescent="0.25">
      <x:c r="A2" s="32" t="s">
        <x:v>0</x:v>
      </x:c>
      <x:c r="B2" s="32"/>
      <x:c r="C2" s="32"/>
      <x:c r="D2" s="32"/>
      <x:c r="E2" s="33" t="s">
        <x:v>1</x:v>
      </x:c>
      <x:c r="F2" s="33"/>
      <x:c r="G2" s="33"/>
      <x:c r="H2" s="33"/>
    </x:row>
    <x:row r="3" spans="1:9" x14ac:dyDescent="0.25">
      <x:c r="A3" s="32"/>
      <x:c r="B3" s="32"/>
      <x:c r="C3" s="32"/>
      <x:c r="D3" s="32"/>
      <x:c r="E3" s="33" t="s">
        <x:v>2</x:v>
      </x:c>
      <x:c r="F3" s="33"/>
      <x:c r="G3" s="33"/>
      <x:c r="H3" s="33"/>
    </x:row>
    <x:row r="4" spans="1:9" x14ac:dyDescent="0.25">
      <x:c r="A4" s="32"/>
      <x:c r="B4" s="32"/>
      <x:c r="C4" s="32"/>
      <x:c r="D4" s="32"/>
      <x:c r="E4" s="34">
        <x:f>TODAY()</x:f>
      </x:c>
      <x:c r="F4" s="34"/>
      <x:c r="G4" s="34"/>
      <x:c r="H4" s="34"/>
    </x:row>
    <x:row r="6" spans="1:9" x14ac:dyDescent="0.25">
      <x:c r="A6" s="35" t="s">
        <x:v>3</x:v>
      </x:c>
      <x:c r="B6" s="35" t="s">
        <x:v>4</x:v>
      </x:c>
      <x:c r="C6" s="35" t="s">
        <x:v>5</x:v>
      </x:c>
      <x:c r="D6" s="35" t="s">
        <x:v>6</x:v>
      </x:c>
      <x:c r="E6" s="35" t="s">
        <x:v>7</x:v>
      </x:c>
      <x:c r="F6" s="35" t="s">
        <x:v>8</x:v>
      </x:c>
      <x:c r="G6" s="35" t="s">
        <x:v>9</x:v>
      </x:c>
      <x:c r="H6" s="35" t="s">
        <x:v>10</x:v>
      </x:c>
      <x:c r="I6" s="35" t="s">
        <x:v>11</x:v>
      </x:c>
    </x:row>
    <x:row r="7" spans="1:9" x14ac:dyDescent="0.25">
      <x:c r="A7" s="36"/>
      <x:c r="B7" s="37"/>
      <x:c r="C7" s="38"/>
      <x:c r="D7" s="39"/>
      <x:c r="E7" s="40"/>
      <x:c r="F7" s="40"/>
      <x:c r="G7" s="41"/>
      <x:c r="H7" s="42"/>
      <x:c r="I7" s="43"/>
    </x:row>
    <x:row r="8" spans="1:9" x14ac:dyDescent="0.25">
      <x:c r="A8" s="21"/>
    </x:row>
    <x:row r="9" spans="1:9">
      <x:c r="C9" s="44" t="s">
        <x:v>28</x:v>
      </x:c>
      <x:c r="E9" s="44" t="s">
        <x:v>28</x:v>
      </x:c>
      <x:c r="I9" s="44" t="s">
        <x:v>28</x:v>
      </x:c>
    </x:row>
    <x:row r="10" spans="1:9">
      <x:c r="C10" s="44" t="s">
        <x:v>29</x:v>
      </x:c>
      <x:c r="E10" s="44" t="s">
        <x:v>30</x:v>
      </x:c>
      <x:c r="I10" s="44" t="s">
        <x:v>31</x:v>
      </x:c>
    </x:row>
    <x:row r="11" spans="1:9">
      <x:c r="C11" s="45" t="s">
        <x:v>32</x:v>
      </x:c>
      <x:c r="E11" s="45" t="s">
        <x:v>33</x:v>
      </x:c>
      <x:c r="I11" s="45" t="s">
        <x:v>34</x:v>
      </x:c>
    </x:row>
    <x:row r="12" spans="1:9">
      <x:c r="C12" s="44" t="s">
        <x:v>35</x:v>
      </x:c>
      <x:c r="E12" s="44" t="s">
        <x:v>36</x:v>
      </x:c>
      <x:c r="I12" s="44" t="s">
        <x:v>37</x:v>
      </x:c>
    </x:row>
    <x:row r="13" spans="1:9">
      <x:c r="C13" s="44" t="s">
        <x:v>38</x:v>
      </x:c>
      <x:c r="E13" s="44" t="s">
        <x:v>39</x:v>
      </x:c>
      <x:c r="I13" s="44" t="s">
        <x:v>40</x:v>
      </x:c>
    </x:row>
  </x:sheetData>
  <x:mergeCells count="4">
    <x:mergeCell ref="A2:D4"/>
    <x:mergeCell ref="E2:H2"/>
    <x:mergeCell ref="E3:H3"/>
    <x:mergeCell ref="E4:H4"/>
  </x:mergeCells>
  <x:printOptions horizontalCentered="0" verticalCentered="0" headings="0" gridLines="0"/>
  <x:pageMargins left="0.25" right="0.25" top="0.75" bottom="0.75" header="0.3" footer="0.3"/>
  <x:pageSetup paperSize="9" fitToHeight="0" pageOrder="downThenOver" orientation="landscape" blackAndWhite="0" draft="0" cellComments="none" errors="displayed" r:id="rId1"/>
  <x:headerFooter/>
  <x: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009DD9-9F05-410B-A8AF-1A6A9EE4A9AA}" mc:Ignorable="x14ac xr xr2 xr3">
  <x:sheetPr>
    <x:tabColor rgb="FFFFC000"/>
    <x:outlinePr summaryBelow="1" summaryRight="1"/>
    <x:pageSetUpPr fitToPage="1"/>
  </x:sheetPr>
  <x:dimension ref="A1:K4"/>
  <x:sheetViews>
    <x:sheetView workbookViewId="0">
      <x:selection activeCell="F37" sqref="F37"/>
    </x:sheetView>
  </x:sheetViews>
  <x:sheetFormatPr baseColWidth="10" defaultColWidth="11.420625" defaultRowHeight="15" x14ac:dyDescent="0.25"/>
  <x:cols>
    <x:col min="1" max="1" width="5.285156" style="0" customWidth="1"/>
    <x:col min="2" max="2" width="11.420625" style="0" customWidth="1"/>
    <x:col min="3" max="3" width="44.570312" style="0" customWidth="1"/>
    <x:col min="4" max="4" width="7.710938" style="0" customWidth="1"/>
    <x:col min="5" max="5" width="25.140625" style="0" customWidth="1"/>
  </x:cols>
  <x:sheetData>
    <x:row r="1" spans="1:11" ht="15.75" customHeight="1" x14ac:dyDescent="0.25">
      <x:c r="A1" s="25" t="s">
        <x:v>12</x:v>
      </x:c>
      <x:c r="B1" s="25"/>
      <x:c r="C1" s="25"/>
      <x:c r="D1" s="25"/>
      <x:c r="E1" s="25"/>
    </x:row>
    <x:row r="2" spans="1:11" ht="15.75" customHeight="1" x14ac:dyDescent="0.25">
      <x:c r="A2" s="26"/>
      <x:c r="B2" s="26"/>
      <x:c r="C2" s="26"/>
      <x:c r="D2" s="26"/>
      <x:c r="E2" s="26"/>
      <x:c r="G2" s="46" t="s">
        <x:v>13</x:v>
      </x:c>
      <x:c r="H2" s="46"/>
      <x:c r="I2" s="46"/>
      <x:c r="J2" s="46"/>
      <x:c r="K2" s="46"/>
    </x:row>
    <x:row r="3" spans="1:11" ht="21.75" customHeight="1" x14ac:dyDescent="0.25">
      <x:c r="A3" s="47" t="s">
        <x:v>3</x:v>
      </x:c>
      <x:c r="B3" s="47" t="s">
        <x:v>14</x:v>
      </x:c>
      <x:c r="C3" s="47" t="s">
        <x:v>5</x:v>
      </x:c>
      <x:c r="D3" s="47" t="s">
        <x:v>7</x:v>
      </x:c>
      <x:c r="E3" s="47" t="s">
        <x:v>15</x:v>
      </x:c>
      <x:c r="G3" s="48" t="s">
        <x:v>16</x:v>
      </x:c>
      <x:c r="H3" s="49" t="s">
        <x:v>17</x:v>
      </x:c>
      <x:c r="I3" s="49" t="s">
        <x:v>18</x:v>
      </x:c>
      <x:c r="J3" s="49" t="s">
        <x:v>19</x:v>
      </x:c>
      <x:c r="K3" s="49" t="s">
        <x:v>20</x:v>
      </x:c>
    </x:row>
    <x:row r="4" spans="1:11" ht="15.75" customHeight="1" x14ac:dyDescent="0.25">
      <x:c r="A4" s="36"/>
      <x:c r="B4" s="36"/>
      <x:c r="C4" s="50"/>
      <x:c r="D4" s="36"/>
      <x:c r="E4" s="51"/>
      <x:c r="G4" s="52" t="s">
        <x:v>21</x:v>
      </x:c>
      <x:c r="H4" s="13">
        <x:f>COUNTIF(RelacionSalida55[PTOS],"&gt;=10")</x:f>
      </x:c>
      <x:c r="I4" s="13">
        <x:f>H4-((COUNTIF(RelacionSalida55[PTOS], "&lt;15") - COUNTIF(RelacionSalida55[PTOS],"&lt;10")))</x:f>
      </x:c>
      <x:c r="J4" s="13">
        <x:f>COUNTIF(RelacionSalida55[PTOS],"&gt;=20")</x:f>
      </x:c>
      <x:c r="K4" s="13">
        <x:f>SUM(H4:J4)</x:f>
      </x:c>
    </x:row>
    <x:row r="7" spans="1:11">
      <x:c r="C7" s="44" t="s">
        <x:v>28</x:v>
      </x:c>
    </x:row>
    <x:row r="8" spans="1:11">
      <x:c r="C8" s="44" t="s">
        <x:v>29</x:v>
      </x:c>
    </x:row>
    <x:row r="9" spans="1:11">
      <x:c r="C9" s="45" t="s">
        <x:v>32</x:v>
      </x:c>
    </x:row>
    <x:row r="10" spans="1:11">
      <x:c r="C10" s="44" t="s">
        <x:v>35</x:v>
      </x:c>
    </x:row>
    <x:row r="11" spans="1:11">
      <x:c r="C11" s="44" t="s">
        <x:v>38</x:v>
      </x:c>
    </x:row>
  </x:sheetData>
  <x:mergeCells count="3">
    <x:mergeCell ref="A1:E1"/>
    <x:mergeCell ref="A2:E2"/>
    <x:mergeCell ref="G2:K2"/>
  </x:mergeCells>
  <x:printOptions horizontalCentered="0" verticalCentered="0" headings="0" gridLines="0"/>
  <x:pageMargins left="0.7086614173228347" right="0.7086614173228347" top="0.7480314960629921" bottom="0.7480314960629921" header="0.31496062992125984" footer="0.31496062992125984"/>
  <x:pageSetup paperSize="9" fitToHeight="0" pageOrder="downThenOver" orientation="portrait" blackAndWhite="0" draft="0" cellComments="none" errors="displayed" r:id="rId1"/>
  <x:headerFooter/>
  <x:drawing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4CD416-23E6-4263-9081-064C35ACD4F8}" mc:Ignorable="x14ac xr xr2 xr3">
  <x:sheetPr>
    <x:tabColor rgb="FF92D050"/>
    <x:outlinePr summaryBelow="1" summaryRight="1"/>
    <x:pageSetUpPr fitToPage="1"/>
  </x:sheetPr>
  <x:dimension ref="A2:I8"/>
  <x:sheetViews>
    <x:sheetView workbookViewId="0">
      <x:selection activeCell="C37" sqref="C37"/>
    </x:sheetView>
  </x:sheetViews>
  <x:sheetFormatPr baseColWidth="10" defaultColWidth="11.420625" defaultRowHeight="15" x14ac:dyDescent="0.25"/>
  <x:cols>
    <x:col min="1" max="1" width="6.855469" style="0" customWidth="1"/>
    <x:col min="2" max="2" width="10.425781" style="0" customWidth="1"/>
    <x:col min="3" max="3" width="47" style="0" customWidth="1"/>
    <x:col min="4" max="4" width="43.140625" style="0" customWidth="1"/>
    <x:col min="5" max="6" width="6.710938" style="0" customWidth="1"/>
    <x:col min="7" max="7" width="7" style="0" customWidth="1"/>
    <x:col min="8" max="8" width="11.425781" style="0" customWidth="1"/>
    <x:col min="9" max="9" width="34.710938" style="0" customWidth="1"/>
  </x:cols>
  <x:sheetData>
    <x:row r="2" spans="1:9" x14ac:dyDescent="0.25">
      <x:c r="A2" s="32" t="s">
        <x:v>0</x:v>
      </x:c>
      <x:c r="B2" s="32"/>
      <x:c r="C2" s="32"/>
      <x:c r="D2" s="32"/>
      <x:c r="E2" s="33" t="s">
        <x:v>1</x:v>
      </x:c>
      <x:c r="F2" s="33"/>
      <x:c r="G2" s="33"/>
      <x:c r="H2" s="33"/>
    </x:row>
    <x:row r="3" spans="1:9" x14ac:dyDescent="0.25">
      <x:c r="A3" s="32"/>
      <x:c r="B3" s="32"/>
      <x:c r="C3" s="32"/>
      <x:c r="D3" s="32"/>
      <x:c r="E3" s="33" t="s">
        <x:v>2</x:v>
      </x:c>
      <x:c r="F3" s="33"/>
      <x:c r="G3" s="33"/>
      <x:c r="H3" s="33"/>
    </x:row>
    <x:row r="4" spans="1:9" x14ac:dyDescent="0.25">
      <x:c r="A4" s="32"/>
      <x:c r="B4" s="32"/>
      <x:c r="C4" s="32"/>
      <x:c r="D4" s="32"/>
      <x:c r="E4" s="34">
        <x:f>TODAY()</x:f>
      </x:c>
      <x:c r="F4" s="34"/>
      <x:c r="G4" s="34"/>
      <x:c r="H4" s="34"/>
    </x:row>
    <x:row r="6" spans="1:9" x14ac:dyDescent="0.25">
      <x:c r="A6" s="35" t="s">
        <x:v>3</x:v>
      </x:c>
      <x:c r="B6" s="35" t="s">
        <x:v>4</x:v>
      </x:c>
      <x:c r="C6" s="35" t="s">
        <x:v>5</x:v>
      </x:c>
      <x:c r="D6" s="35" t="s">
        <x:v>6</x:v>
      </x:c>
      <x:c r="E6" s="35" t="s">
        <x:v>7</x:v>
      </x:c>
      <x:c r="F6" s="35" t="s">
        <x:v>8</x:v>
      </x:c>
      <x:c r="G6" s="35" t="s">
        <x:v>9</x:v>
      </x:c>
      <x:c r="H6" s="35" t="s">
        <x:v>10</x:v>
      </x:c>
      <x:c r="I6" s="35" t="s">
        <x:v>11</x:v>
      </x:c>
    </x:row>
    <x:row r="7" spans="1:9" x14ac:dyDescent="0.25">
      <x:c r="A7" s="36"/>
      <x:c r="B7" s="37"/>
      <x:c r="C7" s="38"/>
      <x:c r="D7" s="39"/>
      <x:c r="E7" s="40"/>
      <x:c r="F7" s="40"/>
      <x:c r="G7" s="41"/>
      <x:c r="H7" s="42"/>
      <x:c r="I7" s="43"/>
    </x:row>
    <x:row r="8" spans="1:9" x14ac:dyDescent="0.25">
      <x:c r="A8" s="21"/>
    </x:row>
    <x:row r="9" spans="1:9">
      <x:c r="C9" s="44" t="s">
        <x:v>28</x:v>
      </x:c>
      <x:c r="E9" s="44" t="s">
        <x:v>28</x:v>
      </x:c>
      <x:c r="I9" s="44" t="s">
        <x:v>28</x:v>
      </x:c>
    </x:row>
    <x:row r="10" spans="1:9">
      <x:c r="C10" s="44" t="s">
        <x:v>29</x:v>
      </x:c>
      <x:c r="E10" s="44" t="s">
        <x:v>30</x:v>
      </x:c>
      <x:c r="I10" s="44" t="s">
        <x:v>31</x:v>
      </x:c>
    </x:row>
    <x:row r="11" spans="1:9">
      <x:c r="C11" s="45" t="s">
        <x:v>32</x:v>
      </x:c>
      <x:c r="E11" s="45" t="s">
        <x:v>33</x:v>
      </x:c>
      <x:c r="I11" s="45" t="s">
        <x:v>34</x:v>
      </x:c>
    </x:row>
    <x:row r="12" spans="1:9">
      <x:c r="C12" s="44" t="s">
        <x:v>35</x:v>
      </x:c>
      <x:c r="E12" s="44" t="s">
        <x:v>36</x:v>
      </x:c>
      <x:c r="I12" s="44" t="s">
        <x:v>37</x:v>
      </x:c>
    </x:row>
    <x:row r="13" spans="1:9">
      <x:c r="C13" s="44" t="s">
        <x:v>38</x:v>
      </x:c>
      <x:c r="E13" s="44" t="s">
        <x:v>39</x:v>
      </x:c>
      <x:c r="I13" s="44" t="s">
        <x:v>40</x:v>
      </x:c>
    </x:row>
  </x:sheetData>
  <x:mergeCells count="4">
    <x:mergeCell ref="A2:D4"/>
    <x:mergeCell ref="E2:H2"/>
    <x:mergeCell ref="E3:H3"/>
    <x:mergeCell ref="E4:H4"/>
  </x:mergeCells>
  <x:printOptions horizontalCentered="0" verticalCentered="0" headings="0" gridLines="0"/>
  <x:pageMargins left="0.25" right="0.25" top="0.75" bottom="0.75" header="0.3" footer="0.3"/>
  <x:pageSetup paperSize="9" fitToHeight="0" pageOrder="downThenOver" orientation="landscape" blackAndWhite="0" draft="0" cellComments="none" errors="displayed" r:id="rId1"/>
  <x:headerFooter/>
  <x:drawing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345BF93-F10A-42D9-B7DC-2EC61737B6BC}" mc:Ignorable="x14ac xr xr2 xr3">
  <x:sheetPr>
    <x:tabColor rgb="FF92D050"/>
    <x:outlinePr summaryBelow="1" summaryRight="1"/>
    <x:pageSetUpPr fitToPage="1"/>
  </x:sheetPr>
  <x:dimension ref="A1:K4"/>
  <x:sheetViews>
    <x:sheetView workbookViewId="0">
      <x:selection activeCell="C8" sqref="C8"/>
    </x:sheetView>
  </x:sheetViews>
  <x:sheetFormatPr baseColWidth="10" defaultColWidth="11.420625" defaultRowHeight="15" x14ac:dyDescent="0.25"/>
  <x:cols>
    <x:col min="1" max="1" width="5.285156" style="0" customWidth="1"/>
    <x:col min="2" max="2" width="11.420625" style="0" customWidth="1"/>
    <x:col min="3" max="3" width="44.570312" style="0" customWidth="1"/>
    <x:col min="4" max="4" width="7.710938" style="0" customWidth="1"/>
    <x:col min="5" max="5" width="25.140625" style="0" customWidth="1"/>
  </x:cols>
  <x:sheetData>
    <x:row r="1" spans="1:11" ht="15.75" customHeight="1" x14ac:dyDescent="0.25">
      <x:c r="A1" s="25" t="s">
        <x:v>12</x:v>
      </x:c>
      <x:c r="B1" s="25"/>
      <x:c r="C1" s="25"/>
      <x:c r="D1" s="25"/>
      <x:c r="E1" s="25"/>
    </x:row>
    <x:row r="2" spans="1:11" ht="15.75" customHeight="1" x14ac:dyDescent="0.25">
      <x:c r="A2" s="26"/>
      <x:c r="B2" s="26"/>
      <x:c r="C2" s="26"/>
      <x:c r="D2" s="26"/>
      <x:c r="E2" s="26"/>
      <x:c r="G2" s="46" t="s">
        <x:v>13</x:v>
      </x:c>
      <x:c r="H2" s="46"/>
      <x:c r="I2" s="46"/>
      <x:c r="J2" s="46"/>
      <x:c r="K2" s="46"/>
    </x:row>
    <x:row r="3" spans="1:11" ht="21.75" customHeight="1" x14ac:dyDescent="0.25">
      <x:c r="A3" s="47" t="s">
        <x:v>3</x:v>
      </x:c>
      <x:c r="B3" s="47" t="s">
        <x:v>14</x:v>
      </x:c>
      <x:c r="C3" s="47" t="s">
        <x:v>5</x:v>
      </x:c>
      <x:c r="D3" s="47" t="s">
        <x:v>7</x:v>
      </x:c>
      <x:c r="E3" s="47" t="s">
        <x:v>15</x:v>
      </x:c>
      <x:c r="G3" s="48" t="s">
        <x:v>16</x:v>
      </x:c>
      <x:c r="H3" s="49" t="s">
        <x:v>17</x:v>
      </x:c>
      <x:c r="I3" s="49" t="s">
        <x:v>18</x:v>
      </x:c>
      <x:c r="J3" s="49" t="s">
        <x:v>19</x:v>
      </x:c>
      <x:c r="K3" s="49" t="s">
        <x:v>20</x:v>
      </x:c>
    </x:row>
    <x:row r="4" spans="1:11" ht="15.75" customHeight="1" x14ac:dyDescent="0.25">
      <x:c r="A4" s="36"/>
      <x:c r="B4" s="36"/>
      <x:c r="C4" s="50"/>
      <x:c r="D4" s="36"/>
      <x:c r="E4" s="51"/>
      <x:c r="G4" s="52" t="s">
        <x:v>21</x:v>
      </x:c>
      <x:c r="H4" s="13">
        <x:f>COUNTIF(RelacionSalida53[PTOS],"&gt;=10")</x:f>
      </x:c>
      <x:c r="I4" s="13">
        <x:f>H4-((COUNTIF(RelacionSalida53[PTOS], "&lt;15") - COUNTIF(RelacionSalida53[PTOS],"&lt;10")))</x:f>
      </x:c>
      <x:c r="J4" s="13">
        <x:f>COUNTIF(RelacionSalida53[PTOS],"&gt;=20")</x:f>
      </x:c>
      <x:c r="K4" s="13">
        <x:f>SUM(H4:J4)</x:f>
      </x:c>
    </x:row>
    <x:row r="7" spans="1:11">
      <x:c r="C7" s="44" t="s">
        <x:v>28</x:v>
      </x:c>
    </x:row>
    <x:row r="8" spans="1:11">
      <x:c r="C8" s="44" t="s">
        <x:v>29</x:v>
      </x:c>
    </x:row>
    <x:row r="9" spans="1:11">
      <x:c r="C9" s="45" t="s">
        <x:v>32</x:v>
      </x:c>
    </x:row>
    <x:row r="10" spans="1:11">
      <x:c r="C10" s="44" t="s">
        <x:v>35</x:v>
      </x:c>
    </x:row>
    <x:row r="11" spans="1:11">
      <x:c r="C11" s="44" t="s">
        <x:v>38</x:v>
      </x:c>
    </x:row>
  </x:sheetData>
  <x:mergeCells count="3">
    <x:mergeCell ref="A1:E1"/>
    <x:mergeCell ref="A2:E2"/>
    <x:mergeCell ref="G2:K2"/>
  </x:mergeCells>
  <x:printOptions horizontalCentered="0" verticalCentered="0" headings="0" gridLines="0"/>
  <x:pageMargins left="0.7086614173228347" right="0.7086614173228347" top="0.7480314960629921" bottom="0.7480314960629921" header="0.31496062992125984" footer="0.31496062992125984"/>
  <x:pageSetup paperSize="9" fitToHeight="0" pageOrder="downThenOver" orientation="portrait" blackAndWhite="0" draft="0" cellComments="none" errors="displayed" r:id="rId1"/>
  <x:headerFooter/>
  <x:drawing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Hoja3">
    <x:tabColor rgb="FFFF0000"/>
    <x:outlinePr summaryBelow="1" summaryRight="1"/>
  </x:sheetPr>
  <x:dimension ref="B2:F9"/>
  <x:sheetViews>
    <x:sheetView workbookViewId="0">
      <x:selection activeCell="E27" sqref="E27"/>
    </x:sheetView>
  </x:sheetViews>
  <x:sheetFormatPr baseColWidth="10" defaultColWidth="11.420625" defaultRowHeight="15" x14ac:dyDescent="0.25"/>
  <x:sheetData>
    <x:row r="2" spans="1:6" ht="15.75" customHeight="1" x14ac:dyDescent="0.25">
      <x:c r="B2" s="28" t="s">
        <x:v>22</x:v>
      </x:c>
      <x:c r="C2" s="28"/>
      <x:c r="D2" s="28"/>
      <x:c r="E2" s="28"/>
      <x:c r="F2" s="28"/>
    </x:row>
    <x:row r="3" spans="1:6" x14ac:dyDescent="0.25">
      <x:c r="C3" s="29">
        <x:f>TODAY()</x:f>
      </x:c>
      <x:c r="D3" s="30"/>
      <x:c r="E3" s="30"/>
    </x:row>
    <x:row r="4" spans="1:6" x14ac:dyDescent="0.25">
      <x:c r="B4" s="31" t="s">
        <x:v>22</x:v>
      </x:c>
      <x:c r="C4" s="31"/>
      <x:c r="D4" s="31"/>
      <x:c r="E4" s="31"/>
      <x:c r="F4" s="31"/>
    </x:row>
    <x:row r="5" spans="1:6" x14ac:dyDescent="0.25">
      <x:c r="B5" s="49" t="s">
        <x:v>16</x:v>
      </x:c>
      <x:c r="C5" s="49" t="s">
        <x:v>23</x:v>
      </x:c>
      <x:c r="D5" s="49" t="s">
        <x:v>24</x:v>
      </x:c>
      <x:c r="E5" s="49" t="s">
        <x:v>25</x:v>
      </x:c>
      <x:c r="F5" s="49" t="s">
        <x:v>20</x:v>
      </x:c>
    </x:row>
    <x:row r="6" spans="1:6" x14ac:dyDescent="0.25">
      <x:c r="B6" s="53" t="s">
        <x:v>21</x:v>
      </x:c>
      <x:c r="C6" s="15"/>
      <x:c r="D6" s="15"/>
      <x:c r="E6" s="15"/>
      <x:c r="F6" s="15"/>
    </x:row>
    <x:row r="7" spans="1:6" x14ac:dyDescent="0.25">
      <x:c r="B7" s="53" t="s">
        <x:v>26</x:v>
      </x:c>
      <x:c r="C7" s="15"/>
      <x:c r="D7" s="15"/>
      <x:c r="E7" s="15"/>
      <x:c r="F7" s="15"/>
    </x:row>
    <x:row r="8" spans="1:6" x14ac:dyDescent="0.25">
      <x:c r="B8" s="53" t="s">
        <x:v>27</x:v>
      </x:c>
      <x:c r="C8" s="15"/>
      <x:c r="D8" s="15"/>
      <x:c r="E8" s="15"/>
      <x:c r="F8" s="15"/>
    </x:row>
    <x:row r="9" spans="1:6" x14ac:dyDescent="0.25">
      <x:c r="B9" s="16" t="s">
        <x:v>20</x:v>
      </x:c>
      <x:c r="C9" s="54"/>
      <x:c r="D9" s="54"/>
      <x:c r="E9" s="54"/>
      <x:c r="F9" s="15"/>
    </x:row>
  </x:sheetData>
  <x:mergeCells count="3">
    <x:mergeCell ref="B2:F2"/>
    <x:mergeCell ref="C3:E3"/>
    <x:mergeCell ref="B4:F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40CD9-CCD8-49F2-A1BB-8F7065710393}">
  <ds:schemaRefs>
    <ds:schemaRef ds:uri="http://schemas.microsoft.com/DataMashup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ap:HeadingPairs>
  <ap:TitlesOfParts>
    <vt:vector baseType="lpstr" size="66">
      <vt:lpstr>TBL-SANCIONES 3er</vt:lpstr>
      <vt:lpstr>SALIDA 3er</vt:lpstr>
      <vt:lpstr>TBL-SANCIONES 4to</vt:lpstr>
      <vt:lpstr>SALIDA 4to</vt:lpstr>
      <vt:lpstr>TBL-SANCIONES 5to</vt:lpstr>
      <vt:lpstr>SALIDA 5to</vt:lpstr>
      <vt:lpstr>RACIONES</vt:lpstr>
      <vt:lpstr>TBL-SANCIONES 3er!CC</vt:lpstr>
      <vt:lpstr>TBL-SANCIONES 3er!CodigoCadetes</vt:lpstr>
      <vt:lpstr>TBL-SANCIONES 3er!GradoCadetes</vt:lpstr>
      <vt:lpstr>TBL-SANCIONES 3er!NombresCadetes</vt:lpstr>
      <vt:lpstr>TBL-SANCIONES 3er!SeccionCadetes</vt:lpstr>
      <vt:lpstr>TBL-SANCIONES 3er!Print_Area</vt:lpstr>
      <vt:lpstr>TBL-SANCIONES 3er!Print_Titles</vt:lpstr>
      <vt:lpstr>SALIDA 3er!CC</vt:lpstr>
      <vt:lpstr>SALIDA 3er!CodigoCadetes</vt:lpstr>
      <vt:lpstr>SALIDA 3er!GradoCadetes</vt:lpstr>
      <vt:lpstr>SALIDA 3er!NombresCadetes</vt:lpstr>
      <vt:lpstr>SALIDA 3er!SeccionCadetes</vt:lpstr>
      <vt:lpstr>SALIDA 3er!Print_Area</vt:lpstr>
      <vt:lpstr>SALIDA 3er!Print_Titles</vt:lpstr>
      <vt:lpstr>TBL-SANCIONES 4to!CC</vt:lpstr>
      <vt:lpstr>TBL-SANCIONES 4to!CodigoCadetes</vt:lpstr>
      <vt:lpstr>TBL-SANCIONES 4to!GradoCadetes</vt:lpstr>
      <vt:lpstr>TBL-SANCIONES 4to!NombresCadetes</vt:lpstr>
      <vt:lpstr>TBL-SANCIONES 4to!SeccionCadetes</vt:lpstr>
      <vt:lpstr>TBL-SANCIONES 4to!Print_Area</vt:lpstr>
      <vt:lpstr>TBL-SANCIONES 4to!Print_Titles</vt:lpstr>
      <vt:lpstr>SALIDA 4to!CC</vt:lpstr>
      <vt:lpstr>SALIDA 4to!CodigoCadetes</vt:lpstr>
      <vt:lpstr>SALIDA 4to!GradoCadetes</vt:lpstr>
      <vt:lpstr>SALIDA 4to!NombresCadetes</vt:lpstr>
      <vt:lpstr>SALIDA 4to!SeccionCadetes</vt:lpstr>
      <vt:lpstr>SALIDA 4to!Print_Area</vt:lpstr>
      <vt:lpstr>SALIDA 4to!Print_Titles</vt:lpstr>
      <vt:lpstr>TBL-SANCIONES 5to!CC</vt:lpstr>
      <vt:lpstr>TBL-SANCIONES 5to!CodigoCadetes</vt:lpstr>
      <vt:lpstr>TBL-SANCIONES 5to!GradoCadetes</vt:lpstr>
      <vt:lpstr>TBL-SANCIONES 5to!NombresCadetes</vt:lpstr>
      <vt:lpstr>TBL-SANCIONES 5to!SeccionCadetes</vt:lpstr>
      <vt:lpstr>TBL-SANCIONES 5to!Print_Area</vt:lpstr>
      <vt:lpstr>TBL-SANCIONES 5to!Print_Titles</vt:lpstr>
      <vt:lpstr>SALIDA 5to!CC</vt:lpstr>
      <vt:lpstr>SALIDA 5to!CodigoCadetes</vt:lpstr>
      <vt:lpstr>SALIDA 5to!GradoCadetes</vt:lpstr>
      <vt:lpstr>SALIDA 5to!NombresCadetes</vt:lpstr>
      <vt:lpstr>SALIDA 5to!SeccionCadetes</vt:lpstr>
      <vt:lpstr>SALIDA 5to!Print_Area</vt:lpstr>
      <vt:lpstr>SALIDA 5to!Print_Titles</vt:lpstr>
      <vt:lpstr>RACIONES!Print_Area</vt:lpstr>
      <vt:lpstr>RACIONES!Print_Titles</vt:lpstr>
      <vt:lpstr>CC</vt:lpstr>
      <vt:lpstr>CODIGO_TOTAL</vt:lpstr>
      <vt:lpstr>CodigoCadetes</vt:lpstr>
      <vt:lpstr>DescripcionesCastigos</vt:lpstr>
      <vt:lpstr>GradoCadetes</vt:lpstr>
      <vt:lpstr>List.cadetes</vt:lpstr>
      <vt:lpstr>Matriz</vt:lpstr>
      <vt:lpstr>MatrizCadetes</vt:lpstr>
      <vt:lpstr>N°3</vt:lpstr>
      <vt:lpstr>NombresCadetes</vt:lpstr>
      <vt:lpstr>rango_cod</vt:lpstr>
      <vt:lpstr>rango_grado</vt:lpstr>
      <vt:lpstr>RangoCodigos</vt:lpstr>
      <vt:lpstr>RangoGrados</vt:lpstr>
      <vt:lpstr>SeccionCadetes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Sebastian Maquera</dc:creator>
  <lastModifiedBy>Sebastian Maquera</lastModifiedBy>
  <lastPrinted>2024-04-17T17:50:00.0000000Z</lastPrinted>
  <dcterms:created xsi:type="dcterms:W3CDTF">2015-06-05T18:19:34.0000000Z</dcterms:created>
  <dcterms:modified xsi:type="dcterms:W3CDTF">2026-05-28T05:33:36.0000000Z</dcterms:modified>
</coreProperties>
</file>